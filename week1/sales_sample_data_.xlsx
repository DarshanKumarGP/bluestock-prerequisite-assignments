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760204DA-2D65-4044-BDA8-27A2FBC3B17A}" xr6:coauthVersionLast="47" xr6:coauthVersionMax="47" xr10:uidLastSave="{00000000-0000-0000-0000-000000000000}"/>
  <bookViews>
    <workbookView xWindow="-108" yWindow="-108" windowWidth="23256" windowHeight="12456" xr2:uid="{1281984A-CF67-4C1D-B4C6-E71E1D54C7B0}"/>
  </bookViews>
  <sheets>
    <sheet name="PivotByRegion" sheetId="3" r:id="rId1"/>
    <sheet name="PivotByCategory" sheetId="4" r:id="rId2"/>
    <sheet name="PivotByRep" sheetId="5" r:id="rId3"/>
    <sheet name="Dashboard" sheetId="6" r:id="rId4"/>
    <sheet name="sales_sample_data" sheetId="1" r:id="rId5"/>
  </sheets>
  <definedNames>
    <definedName name="_xlnm._FilterDatabase" localSheetId="4" hidden="1">sales_sample_data!$A$1:$K$647</definedName>
  </definedNames>
  <calcPr calcId="0"/>
  <pivotCaches>
    <pivotCache cacheId="12" r:id="rId6"/>
  </pivotCaches>
</workbook>
</file>

<file path=xl/calcChain.xml><?xml version="1.0" encoding="utf-8"?>
<calcChain xmlns="http://schemas.openxmlformats.org/spreadsheetml/2006/main">
  <c r="E4" i="6" l="1"/>
  <c r="C4" i="6"/>
  <c r="A4" i="6"/>
  <c r="N6" i="1"/>
  <c r="N5" i="1"/>
</calcChain>
</file>

<file path=xl/sharedStrings.xml><?xml version="1.0" encoding="utf-8"?>
<sst xmlns="http://schemas.openxmlformats.org/spreadsheetml/2006/main" count="3291" uniqueCount="57">
  <si>
    <t>OrderID</t>
  </si>
  <si>
    <t>OrderDate</t>
  </si>
  <si>
    <t>Product</t>
  </si>
  <si>
    <t>Category</t>
  </si>
  <si>
    <t>Region</t>
  </si>
  <si>
    <t>SalesRep</t>
  </si>
  <si>
    <t>CustomerType</t>
  </si>
  <si>
    <t>Quantity</t>
  </si>
  <si>
    <t>UnitPrice</t>
  </si>
  <si>
    <t>DiscountPct</t>
  </si>
  <si>
    <t>Revenue</t>
  </si>
  <si>
    <t>USB-C Cable</t>
  </si>
  <si>
    <t>Electronics</t>
  </si>
  <si>
    <t>East</t>
  </si>
  <si>
    <t>Vikram Shah</t>
  </si>
  <si>
    <t>Retail</t>
  </si>
  <si>
    <t>Notebook Set</t>
  </si>
  <si>
    <t>Stationery</t>
  </si>
  <si>
    <t>South</t>
  </si>
  <si>
    <t>Wholesale</t>
  </si>
  <si>
    <t>Office Chair</t>
  </si>
  <si>
    <t>Furniture</t>
  </si>
  <si>
    <t>Karan Mehta</t>
  </si>
  <si>
    <t>Webcam HD</t>
  </si>
  <si>
    <t>North</t>
  </si>
  <si>
    <t>Whiteboard</t>
  </si>
  <si>
    <t>Office</t>
  </si>
  <si>
    <t>West</t>
  </si>
  <si>
    <t>Ananya Rao</t>
  </si>
  <si>
    <t>LED Desk Lamp</t>
  </si>
  <si>
    <t>Priya Nair</t>
  </si>
  <si>
    <t>Rohit Verma</t>
  </si>
  <si>
    <t>Laptop Stand</t>
  </si>
  <si>
    <t>Sneha Iyer</t>
  </si>
  <si>
    <t>Wireless Mouse</t>
  </si>
  <si>
    <t>Online</t>
  </si>
  <si>
    <t>Bluetooth Speaker</t>
  </si>
  <si>
    <t>Filing Cabinet</t>
  </si>
  <si>
    <t>Ergonomic Keyboard</t>
  </si>
  <si>
    <t>Standing Desk</t>
  </si>
  <si>
    <t>Unknown</t>
  </si>
  <si>
    <t xml:space="preserve">M1: Product          </t>
  </si>
  <si>
    <t>M2: Wireless Mouse</t>
  </si>
  <si>
    <t>M3: Office Chai</t>
  </si>
  <si>
    <t>N1: Category</t>
  </si>
  <si>
    <t>N2: Electronics</t>
  </si>
  <si>
    <t>N3: Furniture</t>
  </si>
  <si>
    <t>(blank)</t>
  </si>
  <si>
    <t>Grand Total</t>
  </si>
  <si>
    <t>Sum of Revenue</t>
  </si>
  <si>
    <t>Revenue by Region</t>
  </si>
  <si>
    <t>Revenue by Product Category</t>
  </si>
  <si>
    <t>Revenue by Sales Rep</t>
  </si>
  <si>
    <t>Sales Performance Dashboard — 2025</t>
  </si>
  <si>
    <t>Total Revenue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</si>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</sst>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'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19" fillId="33" borderId="0" xfId="0" applyFont="1" applyFill="1"/>
    <xf numFmtId="169" fontId="19" fillId="33" borderId="0" xfId="0" applyNumberFormat="1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theme="1"/>
      </font>
      <fill>
        <patternFill>
          <bgColor theme="9" tint="0.39994506668294322"/>
        </patternFill>
      </fill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[sales_sample_data_.xlsx]PivotByRegion!PivotTable2</c:name>
    <c:fmtId val="0"/>
  </c:pivotSource>
  <c:chart>
    <c:title>
      <c:layout>
        <c:manualLayout>
          <c:xMode val="edge"/>
          <c:yMode val="edge"/>
          <c:x val="0.43232931726907636"/>
          <c:y val="1.5439246564767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913923410176139E-2"/>
          <c:y val="0.10159120734908135"/>
          <c:w val="0.8681208297757963"/>
          <c:h val="0.80150646105339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PivotByRegion!$B$3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PivotByRegion!$A$4:$A$9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PivotByRegion!$B$4:$B$9</c:f>
              <c:numCache>
                <c:formatCode>General</c:formatCode>
                <c:ptCount val="5"/>
                <c:pt idx="0">
                  <c:v>1554298.69</c:v>
                </c:pt>
                <c:pt idx="1">
                  <c:v>1753033.0799999996</c:v>
                </c:pt>
                <c:pt idx="2">
                  <c:v>1876148.04</c:v>
                </c:pt>
                <c:pt idx="3">
                  <c:v>1812534.4600000004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E-4B19-A193-D251AF22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842400"/>
        <c:axId val="603755184"/>
      </c:barChart>
      <c:catAx>
        <c:axId val="6228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55184"/>
        <c:crosses val="autoZero"/>
        <c:auto val="1"/>
        <c:lblAlgn val="ctr"/>
        <c:lblOffset val="100"/>
        <c:noMultiLvlLbl val="0"/>
      </c:catAx>
      <c:valAx>
        <c:axId val="6037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PivotByCategory!$B$3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PivotByCategory!$A$4:$A$22</c:f>
              <c:multiLvlStrCache>
                <c:ptCount val="13"/>
                <c:lvl>
                  <c:pt idx="0">
                    <c:v>Bluetooth Speaker</c:v>
                  </c:pt>
                  <c:pt idx="1">
                    <c:v>Ergonomic Keyboard</c:v>
                  </c:pt>
                  <c:pt idx="2">
                    <c:v>USB-C Cable</c:v>
                  </c:pt>
                  <c:pt idx="3">
                    <c:v>Webcam HD</c:v>
                  </c:pt>
                  <c:pt idx="4">
                    <c:v>Wireless Mouse</c:v>
                  </c:pt>
                  <c:pt idx="5">
                    <c:v>Filing Cabinet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Laptop Stand</c:v>
                  </c:pt>
                  <c:pt idx="9">
                    <c:v>LED Desk Lamp</c:v>
                  </c:pt>
                  <c:pt idx="10">
                    <c:v>Whiteboard</c:v>
                  </c:pt>
                  <c:pt idx="11">
                    <c:v>Notebook Set</c:v>
                  </c:pt>
                  <c:pt idx="12">
                    <c:v>(blank)</c:v>
                  </c:pt>
                </c:lvl>
                <c:lvl>
                  <c:pt idx="0">
                    <c:v>Electronics</c:v>
                  </c:pt>
                  <c:pt idx="5">
                    <c:v>Furniture</c:v>
                  </c:pt>
                  <c:pt idx="8">
                    <c:v>Office</c:v>
                  </c:pt>
                  <c:pt idx="11">
                    <c:v>Stationery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PivotByCategory!$B$4:$B$22</c:f>
              <c:numCache>
                <c:formatCode>General</c:formatCode>
                <c:ptCount val="13"/>
                <c:pt idx="0">
                  <c:v>270561.93</c:v>
                </c:pt>
                <c:pt idx="1">
                  <c:v>344981.32</c:v>
                </c:pt>
                <c:pt idx="2">
                  <c:v>35448.01</c:v>
                </c:pt>
                <c:pt idx="3">
                  <c:v>636853.04</c:v>
                </c:pt>
                <c:pt idx="4">
                  <c:v>122244.43000000001</c:v>
                </c:pt>
                <c:pt idx="5">
                  <c:v>904578.63999999978</c:v>
                </c:pt>
                <c:pt idx="6">
                  <c:v>798886.54999999981</c:v>
                </c:pt>
                <c:pt idx="7">
                  <c:v>2879485.8599999994</c:v>
                </c:pt>
                <c:pt idx="8">
                  <c:v>243434.81000000003</c:v>
                </c:pt>
                <c:pt idx="9">
                  <c:v>149632.51</c:v>
                </c:pt>
                <c:pt idx="10">
                  <c:v>580056.9800000001</c:v>
                </c:pt>
                <c:pt idx="11">
                  <c:v>29850.190000000002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3-405B-BAEE-8F8B392C0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[sales_sample_data_.xlsx]PivotByRep!PivotTable4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6442965815713"/>
          <c:y val="0.13232189973614777"/>
          <c:w val="0.738406004334204"/>
          <c:h val="0.765662850850767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PivotByRep!$B$3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PivotByRep!$A$4:$A$12</c:f>
              <c:strCache>
                <c:ptCount val="8"/>
                <c:pt idx="0">
                  <c:v>Ananya Rao</c:v>
                </c:pt>
                <c:pt idx="1">
                  <c:v>Karan Mehta</c:v>
                </c:pt>
                <c:pt idx="2">
                  <c:v>Priya Nair</c:v>
                </c:pt>
                <c:pt idx="3">
                  <c:v>Rohit Verma</c:v>
                </c:pt>
                <c:pt idx="4">
                  <c:v>Sneha Iyer</c:v>
                </c:pt>
                <c:pt idx="5">
                  <c:v>Unknown</c:v>
                </c:pt>
                <c:pt idx="6">
                  <c:v>Vikram Shah</c:v>
                </c:pt>
                <c:pt idx="7">
                  <c:v>(blank)</c:v>
                </c:pt>
              </c:strCache>
            </c:strRef>
          </c:cat>
          <c:val>
            <c:numRef>
              <c:f>PivotByRep!$B$4:$B$12</c:f>
              <c:numCache>
                <c:formatCode>General</c:formatCode>
                <c:ptCount val="8"/>
                <c:pt idx="0">
                  <c:v>1021156.93</c:v>
                </c:pt>
                <c:pt idx="1">
                  <c:v>1470563.7099999997</c:v>
                </c:pt>
                <c:pt idx="2">
                  <c:v>1460347.2299999997</c:v>
                </c:pt>
                <c:pt idx="3">
                  <c:v>1042539.2999999999</c:v>
                </c:pt>
                <c:pt idx="4">
                  <c:v>1144310.7599999998</c:v>
                </c:pt>
                <c:pt idx="5">
                  <c:v>70172.34</c:v>
                </c:pt>
                <c:pt idx="6">
                  <c:v>786924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E-49D1-8029-63D1291B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985344"/>
        <c:axId val="603765264"/>
      </c:barChart>
      <c:catAx>
        <c:axId val="92898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65264"/>
        <c:crosses val="autoZero"/>
        <c:auto val="1"/>
        <c:lblAlgn val="ctr"/>
        <c:lblOffset val="100"/>
        <c:noMultiLvlLbl val="0"/>
      </c:catAx>
      <c:valAx>
        <c:axId val="6037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[sales_sample_data_.xlsx]PivotByRegion!PivotTable2</c:name>
    <c:fmtId val="2"/>
  </c:pivotSource>
  <c:chart>
    <c:title>
      <c:layout>
        <c:manualLayout>
          <c:xMode val="edge"/>
          <c:yMode val="edge"/>
          <c:x val="0.43611151109100688"/>
          <c:y val="8.3559733377898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45039766134939"/>
          <c:y val="0.12294583591438508"/>
          <c:w val="0.8681208297757963"/>
          <c:h val="0.764137942166953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PivotByRegion!$B$3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PivotByRegion!$A$4:$A$9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PivotByRegion!$B$4:$B$9</c:f>
              <c:numCache>
                <c:formatCode>General</c:formatCode>
                <c:ptCount val="5"/>
                <c:pt idx="0">
                  <c:v>1554298.69</c:v>
                </c:pt>
                <c:pt idx="1">
                  <c:v>1753033.0799999996</c:v>
                </c:pt>
                <c:pt idx="2">
                  <c:v>1876148.04</c:v>
                </c:pt>
                <c:pt idx="3">
                  <c:v>1812534.4600000004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0-4DC5-B748-C78244DE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842400"/>
        <c:axId val="603755184"/>
      </c:barChart>
      <c:catAx>
        <c:axId val="6228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55184"/>
        <c:crosses val="autoZero"/>
        <c:auto val="1"/>
        <c:lblAlgn val="ctr"/>
        <c:lblOffset val="100"/>
        <c:noMultiLvlLbl val="0"/>
      </c:catAx>
      <c:valAx>
        <c:axId val="6037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[sales_sample_data_.xlsx]PivotByCategory!PivotTable3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7799496692957421"/>
          <c:w val="0.58968704731580679"/>
          <c:h val="0.58610172037605246"/>
        </c:manualLayout>
      </c:layout>
      <c:pie3DChart>
        <c:varyColors val="1"/>
        <c:ser>
          <c:idx val="0"/>
          <c:order val="0"/>
          <c:tx>
            <c:strRef>
              <c:f>PivotByCategory!$B$3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54-4B17-B185-75D706132F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54-4B17-B185-75D706132F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54-4B17-B185-75D706132F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54-4B17-B185-75D706132F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54-4B17-B185-75D706132F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254-4B17-B185-75D706132F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254-4B17-B185-75D706132F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254-4B17-B185-75D706132F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254-4B17-B185-75D706132F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254-4B17-B185-75D706132F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254-4B17-B185-75D706132F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254-4B17-B185-75D706132F9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254-4B17-B185-75D706132F9F}"/>
              </c:ext>
            </c:extLst>
          </c:dPt>
          <c:cat>
            <c:multiLvlStrRef>
              <c:f>PivotByCategory!$A$4:$A$22</c:f>
              <c:multiLvlStrCache>
                <c:ptCount val="13"/>
                <c:lvl>
                  <c:pt idx="0">
                    <c:v>Bluetooth Speaker</c:v>
                  </c:pt>
                  <c:pt idx="1">
                    <c:v>Ergonomic Keyboard</c:v>
                  </c:pt>
                  <c:pt idx="2">
                    <c:v>USB-C Cable</c:v>
                  </c:pt>
                  <c:pt idx="3">
                    <c:v>Webcam HD</c:v>
                  </c:pt>
                  <c:pt idx="4">
                    <c:v>Wireless Mouse</c:v>
                  </c:pt>
                  <c:pt idx="5">
                    <c:v>Filing Cabinet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Laptop Stand</c:v>
                  </c:pt>
                  <c:pt idx="9">
                    <c:v>LED Desk Lamp</c:v>
                  </c:pt>
                  <c:pt idx="10">
                    <c:v>Whiteboard</c:v>
                  </c:pt>
                  <c:pt idx="11">
                    <c:v>Notebook Set</c:v>
                  </c:pt>
                  <c:pt idx="12">
                    <c:v>(blank)</c:v>
                  </c:pt>
                </c:lvl>
                <c:lvl>
                  <c:pt idx="0">
                    <c:v>Electronics</c:v>
                  </c:pt>
                  <c:pt idx="5">
                    <c:v>Furniture</c:v>
                  </c:pt>
                  <c:pt idx="8">
                    <c:v>Office</c:v>
                  </c:pt>
                  <c:pt idx="11">
                    <c:v>Stationery</c:v>
                  </c:pt>
                  <c:pt idx="12">
                    <c:v>(blank)</c:v>
                  </c:pt>
                </c:lvl>
              </c:multiLvlStrCache>
            </c:multiLvlStrRef>
          </c:cat>
          <c:val>
            <c:numRef>
              <c:f>PivotByCategory!$B$4:$B$22</c:f>
              <c:numCache>
                <c:formatCode>General</c:formatCode>
                <c:ptCount val="13"/>
                <c:pt idx="0">
                  <c:v>270561.93</c:v>
                </c:pt>
                <c:pt idx="1">
                  <c:v>344981.32</c:v>
                </c:pt>
                <c:pt idx="2">
                  <c:v>35448.01</c:v>
                </c:pt>
                <c:pt idx="3">
                  <c:v>636853.04</c:v>
                </c:pt>
                <c:pt idx="4">
                  <c:v>122244.43000000001</c:v>
                </c:pt>
                <c:pt idx="5">
                  <c:v>904578.63999999978</c:v>
                </c:pt>
                <c:pt idx="6">
                  <c:v>798886.54999999981</c:v>
                </c:pt>
                <c:pt idx="7">
                  <c:v>2879485.8599999994</c:v>
                </c:pt>
                <c:pt idx="8">
                  <c:v>243434.81000000003</c:v>
                </c:pt>
                <c:pt idx="9">
                  <c:v>149632.51</c:v>
                </c:pt>
                <c:pt idx="10">
                  <c:v>580056.9800000001</c:v>
                </c:pt>
                <c:pt idx="11">
                  <c:v>29850.190000000002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254-4B17-B185-75D706132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[sales_sample_data_.xlsx]PivotByRep!PivotTable4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PivotByRep!$B$3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PivotByRep!$A$4:$A$12</c:f>
              <c:strCache>
                <c:ptCount val="8"/>
                <c:pt idx="0">
                  <c:v>Ananya Rao</c:v>
                </c:pt>
                <c:pt idx="1">
                  <c:v>Karan Mehta</c:v>
                </c:pt>
                <c:pt idx="2">
                  <c:v>Priya Nair</c:v>
                </c:pt>
                <c:pt idx="3">
                  <c:v>Rohit Verma</c:v>
                </c:pt>
                <c:pt idx="4">
                  <c:v>Sneha Iyer</c:v>
                </c:pt>
                <c:pt idx="5">
                  <c:v>Unknown</c:v>
                </c:pt>
                <c:pt idx="6">
                  <c:v>Vikram Shah</c:v>
                </c:pt>
                <c:pt idx="7">
                  <c:v>(blank)</c:v>
                </c:pt>
              </c:strCache>
            </c:strRef>
          </c:cat>
          <c:val>
            <c:numRef>
              <c:f>PivotByRep!$B$4:$B$12</c:f>
              <c:numCache>
                <c:formatCode>General</c:formatCode>
                <c:ptCount val="8"/>
                <c:pt idx="0">
                  <c:v>1021156.93</c:v>
                </c:pt>
                <c:pt idx="1">
                  <c:v>1470563.7099999997</c:v>
                </c:pt>
                <c:pt idx="2">
                  <c:v>1460347.2299999997</c:v>
                </c:pt>
                <c:pt idx="3">
                  <c:v>1042539.2999999999</c:v>
                </c:pt>
                <c:pt idx="4">
                  <c:v>1144310.7599999998</c:v>
                </c:pt>
                <c:pt idx="5">
                  <c:v>70172.34</c:v>
                </c:pt>
                <c:pt idx="6">
                  <c:v>786924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8-4EC4-95A0-C70EDE35F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985344"/>
        <c:axId val="603765264"/>
      </c:barChart>
      <c:catAx>
        <c:axId val="92898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65264"/>
        <c:crosses val="autoZero"/>
        <c:auto val="1"/>
        <c:lblAlgn val="ctr"/>
        <c:lblOffset val="100"/>
        <c:noMultiLvlLbl val="0"/>
      </c:catAx>
      <c:valAx>
        <c:axId val="6037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1</xdr:row>
      <xdr:rowOff>91440</xdr:rowOff>
    </xdr:from>
    <xdr:to>
      <xdr:col>11</xdr:col>
      <xdr:colOff>259080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39D3C-3311-3383-AA84-FB9698379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125730</xdr:rowOff>
    </xdr:from>
    <xdr:to>
      <xdr:col>10</xdr:col>
      <xdr:colOff>556260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2F6EA-F588-CE51-BF3C-E4470444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1</xdr:row>
      <xdr:rowOff>30480</xdr:rowOff>
    </xdr:from>
    <xdr:to>
      <xdr:col>13</xdr:col>
      <xdr:colOff>335280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D96B8-965E-A5DB-C27B-84F54A577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6</xdr:row>
      <xdr:rowOff>29583</xdr:rowOff>
    </xdr:from>
    <xdr:to>
      <xdr:col>4</xdr:col>
      <xdr:colOff>573742</xdr:colOff>
      <xdr:row>22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B7494-86D5-4AB5-BF31-5748AD9FB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699248</xdr:colOff>
      <xdr:row>5</xdr:row>
      <xdr:rowOff>161364</xdr:rowOff>
    </xdr:from>
    <xdr:to>
      <xdr:col>10</xdr:col>
      <xdr:colOff>331695</xdr:colOff>
      <xdr:row>23</xdr:row>
      <xdr:rowOff>71718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BF26E-E7A0-4C4E-B75C-6987F859A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10757</xdr:colOff>
      <xdr:row>6</xdr:row>
      <xdr:rowOff>0</xdr:rowOff>
    </xdr:from>
    <xdr:to>
      <xdr:col>20</xdr:col>
      <xdr:colOff>80682</xdr:colOff>
      <xdr:row>23</xdr:row>
      <xdr:rowOff>71717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AAC60-8375-43EE-AEC7-9079B4CBA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Kumar" refreshedDate="46237.474832754633" createdVersion="8" refreshedVersion="8" minRefreshableVersion="3" recordCount="647" xr:uid="{92F680BB-8CDB-4910-BE3E-F3582B958450}">
  <cacheSource type="worksheet">
    <worksheetSource ref="A1:K1048576" sheet="sales_sample_data"/>
  </cacheSource>
  <cacheFields count="11">
    <cacheField name="OrderID" numFmtId="0">
      <sharedItems containsString="0" containsBlank="1" containsNumber="1" containsInteger="1" minValue="10001" maxValue="10650"/>
    </cacheField>
    <cacheField name="OrderDate" numFmtId="0">
      <sharedItems containsNonDate="0" containsDate="1" containsString="0" containsBlank="1" minDate="2025-01-03T00:00:00" maxDate="2026-01-01T00:00:00"/>
    </cacheField>
    <cacheField name="Product" numFmtId="0">
      <sharedItems containsBlank="1" count="13">
        <s v="Notebook Set"/>
        <s v="USB-C Cable"/>
        <s v="Wireless Mouse"/>
        <s v="LED Desk Lamp"/>
        <s v="Laptop Stand"/>
        <s v="Bluetooth Speaker"/>
        <s v="Ergonomic Keyboard"/>
        <s v="Whiteboard"/>
        <s v="Webcam HD"/>
        <s v="Filing Cabinet"/>
        <s v="Office Chair"/>
        <s v="Standing Desk"/>
        <m/>
      </sharedItems>
    </cacheField>
    <cacheField name="Category" numFmtId="0">
      <sharedItems containsBlank="1" count="5">
        <s v="Stationery"/>
        <s v="Electronics"/>
        <s v="Office"/>
        <s v="Furniture"/>
        <m/>
      </sharedItems>
    </cacheField>
    <cacheField name="Region" numFmtId="0">
      <sharedItems containsBlank="1" count="5">
        <s v="West"/>
        <s v="South"/>
        <s v="East"/>
        <s v="North"/>
        <m/>
      </sharedItems>
    </cacheField>
    <cacheField name="SalesRep" numFmtId="0">
      <sharedItems containsBlank="1" count="8">
        <s v="Rohit Verma"/>
        <s v="Sneha Iyer"/>
        <s v="Vikram Shah"/>
        <s v="Karan Mehta"/>
        <s v="Ananya Rao"/>
        <s v="Priya Nair"/>
        <s v="Unknown"/>
        <m/>
      </sharedItems>
    </cacheField>
    <cacheField name="CustomerType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Price" numFmtId="0">
      <sharedItems containsString="0" containsBlank="1" containsNumber="1" minValue="189.13" maxValue="13644.57"/>
    </cacheField>
    <cacheField name="DiscountPct" numFmtId="0">
      <sharedItems containsString="0" containsBlank="1" containsNumber="1" containsInteger="1" minValue="0" maxValue="20"/>
    </cacheField>
    <cacheField name="Revenue" numFmtId="0">
      <sharedItems containsString="0" containsBlank="1" containsNumber="1" minValue="189.8" maxValue="136445.70000000001" count="647">
        <n v="189.8"/>
        <n v="191.84"/>
        <n v="193.96"/>
        <n v="194.02"/>
        <n v="194.57"/>
        <n v="195.03"/>
        <n v="195.27"/>
        <n v="196.66"/>
        <n v="199.69"/>
        <n v="200.09"/>
        <n v="200.3"/>
        <n v="200.54"/>
        <n v="200.61"/>
        <n v="200.74"/>
        <n v="200.93"/>
        <n v="202.62"/>
        <n v="203.85"/>
        <n v="204.55"/>
        <n v="204.78"/>
        <n v="206.42"/>
        <n v="206.75"/>
        <n v="206.94"/>
        <n v="207.49"/>
        <n v="208.67"/>
        <n v="284.32"/>
        <n v="284.91000000000003"/>
        <n v="286.48"/>
        <n v="289.13"/>
        <n v="289.41000000000003"/>
        <n v="289.97000000000003"/>
        <n v="296.02999999999997"/>
        <n v="297.06"/>
        <n v="300.76"/>
        <n v="300.91000000000003"/>
        <n v="302.3"/>
        <n v="302.41000000000003"/>
        <n v="303.83999999999997"/>
        <n v="305.19"/>
        <n v="305.8"/>
        <n v="309.88"/>
        <n v="312.56"/>
        <n v="387.74"/>
        <n v="390.88"/>
        <n v="393.34"/>
        <n v="394.84"/>
        <n v="395.22"/>
        <n v="396"/>
        <n v="403.2"/>
        <n v="411.44"/>
        <n v="413.26"/>
        <n v="567.39"/>
        <n v="573.33000000000004"/>
        <n v="573.57000000000005"/>
        <n v="579.32000000000005"/>
        <n v="588.79999999999995"/>
        <n v="589.34"/>
        <n v="592.58000000000004"/>
        <n v="593.76"/>
        <n v="600.02"/>
        <n v="602.61"/>
        <n v="603.6"/>
        <n v="607.72"/>
        <n v="608.37"/>
        <n v="608.6"/>
        <n v="611.46"/>
        <n v="618.52"/>
        <n v="619.38"/>
        <n v="621.76"/>
        <n v="622.14"/>
        <n v="622.71"/>
        <n v="625.08000000000004"/>
        <n v="759.89"/>
        <n v="764.98"/>
        <n v="766.4"/>
        <n v="778.11"/>
        <n v="778.3"/>
        <n v="784.91"/>
        <n v="785.7"/>
        <n v="798.99"/>
        <n v="799.48"/>
        <n v="800.13"/>
        <n v="800.95"/>
        <n v="815.1"/>
        <n v="821.47"/>
        <n v="824.49"/>
        <n v="831.73"/>
        <n v="835.18"/>
        <n v="836.06"/>
        <n v="837.63"/>
        <n v="856.32"/>
        <n v="866.53"/>
        <n v="870"/>
        <n v="870.81"/>
        <n v="872.35"/>
        <n v="875.29"/>
        <n v="880.86"/>
        <n v="884.02"/>
        <n v="888.78"/>
        <n v="889.44"/>
        <n v="893.27"/>
        <n v="898.8"/>
        <n v="906.25"/>
        <n v="908.09"/>
        <n v="910.46"/>
        <n v="911.2"/>
        <n v="913.62"/>
        <n v="915.87"/>
        <n v="916.24"/>
        <n v="924.3"/>
        <n v="924.51"/>
        <n v="924.95"/>
        <n v="925.4"/>
        <n v="926.36"/>
        <n v="928.79"/>
        <n v="930.59"/>
        <n v="934.14"/>
        <n v="934.89"/>
        <n v="939.35"/>
        <n v="940.49"/>
        <n v="943.26"/>
        <n v="943.7"/>
        <n v="951.45"/>
        <n v="971.65"/>
        <n v="980.5"/>
        <n v="983.65"/>
        <n v="1017.3"/>
        <n v="1237.22"/>
        <n v="1240.56"/>
        <n v="1241.8"/>
        <n v="1254.24"/>
        <n v="1282.79"/>
        <n v="1288.8499999999999"/>
        <n v="1292.94"/>
        <n v="1298.79"/>
        <n v="1303.6300000000001"/>
        <n v="1313.87"/>
        <n v="1325.73"/>
        <n v="1327.63"/>
        <n v="1327.74"/>
        <n v="1340.12"/>
        <n v="1347.53"/>
        <n v="1347.64"/>
        <n v="1362.43"/>
        <n v="1433.95"/>
        <n v="1461.6"/>
        <n v="1469.2"/>
        <n v="1498.9"/>
        <n v="1510.7"/>
        <n v="1517.4"/>
        <n v="1529.06"/>
        <n v="1533.24"/>
        <n v="1561.88"/>
        <n v="1564.36"/>
        <n v="1584.62"/>
        <n v="1603.72"/>
        <n v="1640.92"/>
        <n v="1645.7"/>
        <n v="1651.86"/>
        <n v="1660.34"/>
        <n v="1737.34"/>
        <n v="1749"/>
        <n v="1766.22"/>
        <n v="1774.54"/>
        <n v="1789.68"/>
        <n v="1790.22"/>
        <n v="1793.48"/>
        <n v="1804.58"/>
        <n v="1809.71"/>
        <n v="1810.9"/>
        <n v="1822.98"/>
        <n v="1828.43"/>
        <n v="1830.04"/>
        <n v="1833.93"/>
        <n v="1837.12"/>
        <n v="1858.58"/>
        <n v="1875.68"/>
        <n v="1876.73"/>
        <n v="1879.21"/>
        <n v="1883.59"/>
        <n v="1888.3"/>
        <n v="1889.89"/>
        <n v="1891.7"/>
        <n v="1898"/>
        <n v="1905.1"/>
        <n v="1919.7"/>
        <n v="1931.31"/>
        <n v="1933.41"/>
        <n v="1938.2"/>
        <n v="1938.72"/>
        <n v="1966.72"/>
        <n v="1972.7"/>
        <n v="1985.18"/>
        <n v="2024.9"/>
        <n v="2066"/>
        <n v="2198.0300000000002"/>
        <n v="2199.17"/>
        <n v="2200.37"/>
        <n v="2206.94"/>
        <n v="2209.0100000000002"/>
        <n v="2237.4299999999998"/>
        <n v="2238.31"/>
        <n v="2240.31"/>
        <n v="2254.1"/>
        <n v="2260.3200000000002"/>
        <n v="2298.27"/>
        <n v="2298.5500000000002"/>
        <n v="2311.0100000000002"/>
        <n v="2317.09"/>
        <n v="2320.11"/>
        <n v="2321.75"/>
        <n v="2339"/>
        <n v="2355.02"/>
        <n v="2355.9699999999998"/>
        <n v="2359.4899999999998"/>
        <n v="2375.1799999999998"/>
        <n v="2379.7800000000002"/>
        <n v="2381.7600000000002"/>
        <n v="2383.83"/>
        <n v="2386.69"/>
        <n v="2388.84"/>
        <n v="2389.64"/>
        <n v="2391.42"/>
        <n v="2392.36"/>
        <n v="2395.0300000000002"/>
        <n v="2396.61"/>
        <n v="2411.09"/>
        <n v="2413.44"/>
        <n v="2429.4899999999998"/>
        <n v="2434.5100000000002"/>
        <n v="2434.94"/>
        <n v="2436.6999999999998"/>
        <n v="2449.3000000000002"/>
        <n v="2459.6999999999998"/>
        <n v="2462"/>
        <n v="2470.86"/>
        <n v="2471.12"/>
        <n v="2471.17"/>
        <n v="2472.71"/>
        <n v="2473.8000000000002"/>
        <n v="2476.5"/>
        <n v="2486.85"/>
        <n v="2503.7600000000002"/>
        <n v="2505.37"/>
        <n v="2511.8000000000002"/>
        <n v="2517.06"/>
        <n v="2525.8200000000002"/>
        <n v="2531.98"/>
        <n v="2532.84"/>
        <n v="2537.37"/>
        <n v="2540.9499999999998"/>
        <n v="2556.71"/>
        <n v="2561.42"/>
        <n v="2567"/>
        <n v="2572.62"/>
        <n v="2575.2600000000002"/>
        <n v="2578.1999999999998"/>
        <n v="2584.13"/>
        <n v="2584.41"/>
        <n v="2585.7600000000002"/>
        <n v="2589.61"/>
        <n v="2590.84"/>
        <n v="2597.13"/>
        <n v="2603.9299999999998"/>
        <n v="2605.98"/>
        <n v="2607"/>
        <n v="2621.31"/>
        <n v="2625.39"/>
        <n v="2634.82"/>
        <n v="2648.82"/>
        <n v="2651.24"/>
        <n v="2721.03"/>
        <n v="2751.39"/>
        <n v="2782.53"/>
        <n v="2947.8"/>
        <n v="3014.6"/>
        <n v="3099.4"/>
        <n v="3328.12"/>
        <n v="3340.08"/>
        <n v="3395.98"/>
        <n v="3423.79"/>
        <n v="3425.68"/>
        <n v="3430.38"/>
        <n v="3477.92"/>
        <n v="3481.41"/>
        <n v="3517.16"/>
        <n v="3559.07"/>
        <n v="3587.33"/>
        <n v="3591.49"/>
        <n v="3602.65"/>
        <n v="3607.99"/>
        <n v="3617.48"/>
        <n v="3621.9"/>
        <n v="3633.86"/>
        <n v="3642.67"/>
        <n v="3686.12"/>
        <n v="3686.36"/>
        <n v="3724.08"/>
        <n v="3724.4"/>
        <n v="3725.37"/>
        <n v="3725.76"/>
        <n v="3769.56"/>
        <n v="3776.13"/>
        <n v="3793.35"/>
        <n v="3794.46"/>
        <n v="3795.9"/>
        <n v="3808.62"/>
        <n v="3823.05"/>
        <n v="3826.11"/>
        <n v="3839.65"/>
        <n v="3844.65"/>
        <n v="3902.7"/>
        <n v="3915.45"/>
        <n v="3925.16"/>
        <n v="3936.5"/>
        <n v="3944.85"/>
        <n v="3992.61"/>
        <n v="4000.98"/>
        <n v="4007.75"/>
        <n v="4008"/>
        <n v="4031.58"/>
        <n v="4034.7"/>
        <n v="4056.75"/>
        <n v="4057.08"/>
        <n v="4162.8999999999996"/>
        <n v="4403.04"/>
        <n v="4403.95"/>
        <n v="4438"/>
        <n v="4491.82"/>
        <n v="4495.05"/>
        <n v="4616"/>
        <n v="4634.28"/>
        <n v="4657.2"/>
        <n v="4671.76"/>
        <n v="4674.74"/>
        <n v="4703.75"/>
        <n v="4724.5"/>
        <n v="4766.96"/>
        <n v="4790.68"/>
        <n v="4826.72"/>
        <n v="4909.18"/>
        <n v="4941.74"/>
        <n v="5015"/>
        <n v="5031.96"/>
        <n v="5032.3"/>
        <n v="5053.0200000000004"/>
        <n v="5055.9399999999996"/>
        <n v="5066.28"/>
        <n v="5089.9799999999996"/>
        <n v="5095.32"/>
        <n v="5099.46"/>
        <n v="5107.12"/>
        <n v="5148.5200000000004"/>
        <n v="5158.2"/>
        <n v="5535.93"/>
        <n v="5634.75"/>
        <n v="5671.56"/>
        <n v="5713.3"/>
        <n v="5723.22"/>
        <n v="5725.47"/>
        <n v="5744.01"/>
        <n v="5772.98"/>
        <n v="5774.23"/>
        <n v="5778.66"/>
        <n v="5790.72"/>
        <n v="5793.93"/>
        <n v="5795.61"/>
        <n v="5843.84"/>
        <n v="5847.7"/>
        <n v="5871.15"/>
        <n v="5874.6"/>
        <n v="5884.92"/>
        <n v="5900.16"/>
        <n v="5902.68"/>
        <n v="5926.04"/>
        <n v="5939.48"/>
        <n v="5953.38"/>
        <n v="5987.91"/>
        <n v="6005.29"/>
        <n v="6036.86"/>
        <n v="6101.76"/>
        <n v="6109.64"/>
        <n v="6119.51"/>
        <n v="6163.17"/>
        <n v="6173.64"/>
        <n v="6185.8"/>
        <n v="6196.23"/>
        <n v="6221.55"/>
        <n v="6233.33"/>
        <n v="6247.53"/>
        <n v="6262.17"/>
        <n v="6266.71"/>
        <n v="6268.23"/>
        <n v="6268.39"/>
        <n v="6282.33"/>
        <n v="6289.18"/>
        <n v="6308.55"/>
        <n v="6313.45"/>
        <n v="6322.91"/>
        <n v="6362"/>
        <n v="6362.1"/>
        <n v="6374.05"/>
        <n v="6374.83"/>
        <n v="6383.45"/>
        <n v="6413.81"/>
        <n v="6462.85"/>
        <n v="6471"/>
        <n v="6498.38"/>
        <n v="6533.68"/>
        <n v="6585.25"/>
        <n v="6597.98"/>
        <n v="6598.8"/>
        <n v="6602.43"/>
        <n v="6654.75"/>
        <n v="6690.76"/>
        <n v="6727.93"/>
        <n v="6728.3"/>
        <n v="6731.5"/>
        <n v="6736.55"/>
        <n v="6738.32"/>
        <n v="6752.27"/>
        <n v="6756.93"/>
        <n v="6761.25"/>
        <n v="6762.44"/>
        <n v="6779.92"/>
        <n v="6789.57"/>
        <n v="6796.04"/>
        <n v="6804.3"/>
        <n v="6806.08"/>
        <n v="6815.19"/>
        <n v="6911.36"/>
        <n v="6939.39"/>
        <n v="7018.65"/>
        <n v="7060.18"/>
        <n v="7072.95"/>
        <n v="7147.14"/>
        <n v="7184.78"/>
        <n v="7192.17"/>
        <n v="7196.82"/>
        <n v="7214.64"/>
        <n v="7217.4"/>
        <n v="7224.87"/>
        <n v="7232.34"/>
        <n v="7361.85"/>
        <n v="7658.88"/>
        <n v="7709.5"/>
        <n v="7722.36"/>
        <n v="7845.33"/>
        <n v="7972"/>
        <n v="7975.1"/>
        <n v="8113"/>
        <n v="8353.6"/>
        <n v="8642.9"/>
        <n v="8733.4"/>
        <n v="8789.1"/>
        <n v="8828.7000000000007"/>
        <n v="9021.85"/>
        <n v="9030"/>
        <n v="9164.0499999999993"/>
        <n v="9189.6"/>
        <n v="9295.15"/>
        <n v="9339.65"/>
        <n v="9355.35"/>
        <n v="9378.35"/>
        <n v="9448.6"/>
        <n v="9665.4500000000007"/>
        <n v="9938.65"/>
        <n v="10106.85"/>
        <n v="10802.22"/>
        <n v="10819.98"/>
        <n v="10885.08"/>
        <n v="11340.15"/>
        <n v="11419.6"/>
        <n v="11435.98"/>
        <n v="11683.12"/>
        <n v="11743.38"/>
        <n v="11936.58"/>
        <n v="11970.58"/>
        <n v="12030.25"/>
        <n v="12102.35"/>
        <n v="12163.5"/>
        <n v="12221.54"/>
        <n v="12285.35"/>
        <n v="12294.76"/>
        <n v="12355.18"/>
        <n v="12355.44"/>
        <n v="12374.6"/>
        <n v="12378.41"/>
        <n v="12382.93"/>
        <n v="12482.48"/>
        <n v="12491.5"/>
        <n v="12497.5"/>
        <n v="12503.76"/>
        <n v="12510.8"/>
        <n v="12558.4"/>
        <n v="12603.7"/>
        <n v="12663.4"/>
        <n v="12670.2"/>
        <n v="12758.24"/>
        <n v="12790.8"/>
        <n v="12814.04"/>
        <n v="12920.87"/>
        <n v="12937.44"/>
        <n v="12950.9"/>
        <n v="12982.7"/>
        <n v="13001.65"/>
        <n v="13029"/>
        <n v="13099.78"/>
        <n v="13100.3"/>
        <n v="13164"/>
        <n v="13165.12"/>
        <n v="13169.4"/>
        <n v="13231.76"/>
        <n v="13300.78"/>
        <n v="13327.1"/>
        <n v="13327.62"/>
        <n v="13371.11"/>
        <n v="13381.45"/>
        <n v="13417.72"/>
        <n v="13442.1"/>
        <n v="13485.6"/>
        <n v="13550.33"/>
        <n v="13619.16"/>
        <n v="13625.14"/>
        <n v="13637.24"/>
        <n v="16845.849999999999"/>
        <n v="16881.3"/>
        <n v="17001.349999999999"/>
        <n v="17196.93"/>
        <n v="17601.55"/>
        <n v="17640.240000000002"/>
        <n v="17773.95"/>
        <n v="17820.55"/>
        <n v="17842.11"/>
        <n v="17897.3"/>
        <n v="18004.41"/>
        <n v="18052.53"/>
        <n v="18067.05"/>
        <n v="18135.900000000001"/>
        <n v="18324"/>
        <n v="18568.2"/>
        <n v="18780.240000000002"/>
        <n v="18896.3"/>
        <n v="19063.919999999998"/>
        <n v="19098.2"/>
        <n v="19720.5"/>
        <n v="20143.71"/>
        <n v="21987.3"/>
        <n v="22080.9"/>
        <n v="22206.6"/>
        <n v="22232.5"/>
        <n v="22993.1"/>
        <n v="23742.2"/>
        <n v="23798.400000000001"/>
        <n v="23999.7"/>
        <n v="24127.3"/>
        <n v="24131.200000000001"/>
        <n v="24134.400000000001"/>
        <n v="24762.9"/>
        <n v="24775.5"/>
        <n v="24793.3"/>
        <n v="24860.5"/>
        <n v="24864.560000000001"/>
        <n v="24894.2"/>
        <n v="25046.16"/>
        <n v="25224.400000000001"/>
        <n v="25278.3"/>
        <n v="25281.3"/>
        <n v="25306.7"/>
        <n v="25388.1"/>
        <n v="25582.92"/>
        <n v="25859.52"/>
        <n v="25951.02"/>
        <n v="26275.040000000001"/>
        <n v="26321.200000000001"/>
        <n v="26330.28"/>
        <n v="26458.68"/>
        <n v="26483.16"/>
        <n v="26522.7"/>
        <n v="26628.22"/>
        <n v="26735.16"/>
        <n v="26769.5"/>
        <n v="26830.16"/>
        <n v="26868.7"/>
        <n v="27033.46"/>
        <n v="27083.24"/>
        <n v="27086.5"/>
        <n v="27198.880000000001"/>
        <n v="27271.32"/>
        <n v="29013.599999999999"/>
        <n v="29191.55"/>
        <n v="29817.1"/>
        <n v="30020.45"/>
        <n v="30853.1"/>
        <n v="31031.599999999999"/>
        <n v="31054.85"/>
        <n v="31126.3"/>
        <n v="31400.95"/>
        <n v="31480.2"/>
        <n v="31767"/>
        <n v="32070.6"/>
        <n v="32180.7"/>
        <n v="32400.6"/>
        <n v="32469.1"/>
        <n v="33475.4"/>
        <n v="33762.400000000001"/>
        <n v="34081.5"/>
        <n v="34090.699999999997"/>
        <n v="34448.1"/>
        <n v="34871"/>
        <n v="35091.9"/>
        <n v="35362.699999999997"/>
        <n v="35623.800000000003"/>
        <n v="37304.19"/>
        <n v="37469.67"/>
        <n v="37876.32"/>
        <n v="38419.11"/>
        <n v="38599.35"/>
        <n v="38788.86"/>
        <n v="39748.74"/>
        <n v="40076.58"/>
        <n v="40352.129999999997"/>
        <n v="58567.1"/>
        <n v="59776.7"/>
        <n v="61803.3"/>
        <n v="61841.8"/>
        <n v="62626.9"/>
        <n v="62828.35"/>
        <n v="63324.5"/>
        <n v="63529.7"/>
        <n v="63948.800000000003"/>
        <n v="65621.7"/>
        <n v="65980.149999999994"/>
        <n v="66127.5"/>
        <n v="66216.2"/>
        <n v="66809.45"/>
        <n v="67263.350000000006"/>
        <n v="67597.5"/>
        <n v="125083.2"/>
        <n v="125882.9"/>
        <n v="125986.4"/>
        <n v="128169.1"/>
        <n v="129480.8"/>
        <n v="130648.3"/>
        <n v="134830.6"/>
        <n v="135050"/>
        <n v="136445.700000000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n v="10530"/>
    <d v="2025-07-26T00:00:00"/>
    <x v="0"/>
    <x v="0"/>
    <x v="0"/>
    <x v="0"/>
    <s v="Wholesale"/>
    <n v="1"/>
    <n v="189.8"/>
    <n v="0"/>
    <x v="0"/>
  </r>
  <r>
    <n v="10316"/>
    <d v="2025-08-13T00:00:00"/>
    <x v="0"/>
    <x v="0"/>
    <x v="1"/>
    <x v="1"/>
    <s v="Retail"/>
    <n v="1"/>
    <n v="191.84"/>
    <n v="0"/>
    <x v="1"/>
  </r>
  <r>
    <n v="10013"/>
    <d v="2025-11-26T00:00:00"/>
    <x v="0"/>
    <x v="0"/>
    <x v="0"/>
    <x v="2"/>
    <s v="Wholesale"/>
    <n v="1"/>
    <n v="193.96"/>
    <n v="10"/>
    <x v="2"/>
  </r>
  <r>
    <n v="10397"/>
    <d v="2025-01-31T00:00:00"/>
    <x v="0"/>
    <x v="0"/>
    <x v="2"/>
    <x v="3"/>
    <s v="Retail"/>
    <n v="1"/>
    <n v="194.02"/>
    <n v="15"/>
    <x v="3"/>
  </r>
  <r>
    <n v="10422"/>
    <d v="2025-08-05T00:00:00"/>
    <x v="0"/>
    <x v="0"/>
    <x v="0"/>
    <x v="4"/>
    <s v="Online"/>
    <n v="1"/>
    <n v="194.57"/>
    <n v="0"/>
    <x v="4"/>
  </r>
  <r>
    <n v="10361"/>
    <d v="2025-06-18T00:00:00"/>
    <x v="0"/>
    <x v="0"/>
    <x v="0"/>
    <x v="5"/>
    <s v="Wholesale"/>
    <n v="1"/>
    <n v="195.03"/>
    <n v="10"/>
    <x v="5"/>
  </r>
  <r>
    <n v="10171"/>
    <d v="2025-06-23T00:00:00"/>
    <x v="0"/>
    <x v="0"/>
    <x v="0"/>
    <x v="0"/>
    <s v="Wholesale"/>
    <n v="1"/>
    <n v="195.27"/>
    <n v="0"/>
    <x v="6"/>
  </r>
  <r>
    <n v="10053"/>
    <d v="2025-12-09T00:00:00"/>
    <x v="0"/>
    <x v="0"/>
    <x v="1"/>
    <x v="5"/>
    <s v="Retail"/>
    <n v="1"/>
    <n v="196.66"/>
    <n v="0"/>
    <x v="7"/>
  </r>
  <r>
    <n v="10600"/>
    <d v="2025-06-11T00:00:00"/>
    <x v="0"/>
    <x v="0"/>
    <x v="3"/>
    <x v="0"/>
    <s v="Online"/>
    <n v="1"/>
    <n v="199.69"/>
    <n v="15"/>
    <x v="8"/>
  </r>
  <r>
    <n v="10385"/>
    <d v="2025-08-05T00:00:00"/>
    <x v="0"/>
    <x v="0"/>
    <x v="1"/>
    <x v="0"/>
    <s v="Online"/>
    <n v="1"/>
    <n v="200.09"/>
    <n v="5"/>
    <x v="9"/>
  </r>
  <r>
    <n v="10388"/>
    <d v="2025-12-30T00:00:00"/>
    <x v="0"/>
    <x v="0"/>
    <x v="0"/>
    <x v="0"/>
    <s v="Retail"/>
    <n v="1"/>
    <n v="200.3"/>
    <n v="20"/>
    <x v="10"/>
  </r>
  <r>
    <n v="10379"/>
    <d v="2025-01-03T00:00:00"/>
    <x v="0"/>
    <x v="0"/>
    <x v="1"/>
    <x v="2"/>
    <s v="Wholesale"/>
    <n v="1"/>
    <n v="200.54"/>
    <n v="20"/>
    <x v="11"/>
  </r>
  <r>
    <n v="10442"/>
    <d v="2025-12-25T00:00:00"/>
    <x v="0"/>
    <x v="0"/>
    <x v="2"/>
    <x v="0"/>
    <s v="Online"/>
    <n v="1"/>
    <n v="200.61"/>
    <n v="10"/>
    <x v="12"/>
  </r>
  <r>
    <n v="10420"/>
    <d v="2025-07-07T00:00:00"/>
    <x v="0"/>
    <x v="0"/>
    <x v="1"/>
    <x v="0"/>
    <s v="Retail"/>
    <n v="1"/>
    <n v="200.74"/>
    <n v="0"/>
    <x v="13"/>
  </r>
  <r>
    <n v="10355"/>
    <d v="2025-02-22T00:00:00"/>
    <x v="0"/>
    <x v="0"/>
    <x v="3"/>
    <x v="4"/>
    <s v="Wholesale"/>
    <n v="1"/>
    <n v="200.93"/>
    <n v="20"/>
    <x v="14"/>
  </r>
  <r>
    <n v="10364"/>
    <d v="2025-07-06T00:00:00"/>
    <x v="0"/>
    <x v="0"/>
    <x v="3"/>
    <x v="1"/>
    <s v="Retail"/>
    <n v="1"/>
    <n v="202.62"/>
    <n v="10"/>
    <x v="15"/>
  </r>
  <r>
    <n v="10581"/>
    <d v="2025-12-17T00:00:00"/>
    <x v="0"/>
    <x v="0"/>
    <x v="2"/>
    <x v="1"/>
    <s v="Retail"/>
    <n v="1"/>
    <n v="203.85"/>
    <n v="0"/>
    <x v="16"/>
  </r>
  <r>
    <n v="10527"/>
    <d v="2025-10-19T00:00:00"/>
    <x v="0"/>
    <x v="0"/>
    <x v="0"/>
    <x v="2"/>
    <s v="Wholesale"/>
    <n v="1"/>
    <n v="204.55"/>
    <n v="5"/>
    <x v="17"/>
  </r>
  <r>
    <n v="10347"/>
    <d v="2025-12-13T00:00:00"/>
    <x v="0"/>
    <x v="0"/>
    <x v="2"/>
    <x v="0"/>
    <s v="Online"/>
    <n v="1"/>
    <n v="204.78"/>
    <n v="15"/>
    <x v="18"/>
  </r>
  <r>
    <n v="10214"/>
    <d v="2025-09-15T00:00:00"/>
    <x v="0"/>
    <x v="0"/>
    <x v="0"/>
    <x v="2"/>
    <s v="Retail"/>
    <n v="1"/>
    <n v="206.42"/>
    <n v="0"/>
    <x v="19"/>
  </r>
  <r>
    <n v="10113"/>
    <d v="2025-05-20T00:00:00"/>
    <x v="0"/>
    <x v="0"/>
    <x v="0"/>
    <x v="0"/>
    <s v="Retail"/>
    <n v="1"/>
    <n v="206.75"/>
    <n v="15"/>
    <x v="20"/>
  </r>
  <r>
    <n v="10050"/>
    <d v="2025-03-07T00:00:00"/>
    <x v="0"/>
    <x v="0"/>
    <x v="3"/>
    <x v="5"/>
    <s v="Wholesale"/>
    <n v="1"/>
    <n v="206.94"/>
    <n v="0"/>
    <x v="21"/>
  </r>
  <r>
    <n v="10580"/>
    <d v="2025-05-02T00:00:00"/>
    <x v="0"/>
    <x v="0"/>
    <x v="2"/>
    <x v="3"/>
    <s v="Online"/>
    <n v="1"/>
    <n v="207.49"/>
    <n v="5"/>
    <x v="22"/>
  </r>
  <r>
    <n v="10308"/>
    <d v="2025-06-26T00:00:00"/>
    <x v="0"/>
    <x v="0"/>
    <x v="3"/>
    <x v="1"/>
    <s v="Retail"/>
    <n v="1"/>
    <n v="208.67"/>
    <n v="5"/>
    <x v="23"/>
  </r>
  <r>
    <n v="10335"/>
    <d v="2025-11-19T00:00:00"/>
    <x v="1"/>
    <x v="1"/>
    <x v="1"/>
    <x v="6"/>
    <s v="Online"/>
    <n v="1"/>
    <n v="284.32"/>
    <n v="10"/>
    <x v="24"/>
  </r>
  <r>
    <n v="10122"/>
    <d v="2025-05-28T00:00:00"/>
    <x v="1"/>
    <x v="1"/>
    <x v="0"/>
    <x v="3"/>
    <s v="Wholesale"/>
    <n v="1"/>
    <n v="284.91000000000003"/>
    <n v="15"/>
    <x v="25"/>
  </r>
  <r>
    <n v="10255"/>
    <d v="2025-03-29T00:00:00"/>
    <x v="1"/>
    <x v="1"/>
    <x v="2"/>
    <x v="1"/>
    <s v="Retail"/>
    <n v="1"/>
    <n v="286.48"/>
    <n v="15"/>
    <x v="26"/>
  </r>
  <r>
    <n v="10138"/>
    <d v="2025-05-06T00:00:00"/>
    <x v="1"/>
    <x v="1"/>
    <x v="0"/>
    <x v="1"/>
    <s v="Online"/>
    <n v="1"/>
    <n v="289.13"/>
    <n v="0"/>
    <x v="27"/>
  </r>
  <r>
    <n v="10052"/>
    <d v="2025-05-02T00:00:00"/>
    <x v="1"/>
    <x v="1"/>
    <x v="1"/>
    <x v="2"/>
    <s v="Wholesale"/>
    <n v="1"/>
    <n v="289.41000000000003"/>
    <n v="0"/>
    <x v="28"/>
  </r>
  <r>
    <n v="10451"/>
    <d v="2025-03-04T00:00:00"/>
    <x v="1"/>
    <x v="1"/>
    <x v="3"/>
    <x v="4"/>
    <s v="Retail"/>
    <n v="1"/>
    <n v="289.97000000000003"/>
    <n v="5"/>
    <x v="29"/>
  </r>
  <r>
    <n v="10266"/>
    <d v="2025-05-16T00:00:00"/>
    <x v="1"/>
    <x v="1"/>
    <x v="2"/>
    <x v="0"/>
    <s v="Wholesale"/>
    <n v="1"/>
    <n v="296.02999999999997"/>
    <n v="10"/>
    <x v="30"/>
  </r>
  <r>
    <n v="10443"/>
    <d v="2025-11-23T00:00:00"/>
    <x v="1"/>
    <x v="1"/>
    <x v="0"/>
    <x v="4"/>
    <s v="Online"/>
    <n v="1"/>
    <n v="297.06"/>
    <n v="0"/>
    <x v="31"/>
  </r>
  <r>
    <n v="10306"/>
    <d v="2025-09-20T00:00:00"/>
    <x v="1"/>
    <x v="1"/>
    <x v="0"/>
    <x v="0"/>
    <s v="Online"/>
    <n v="1"/>
    <n v="300.76"/>
    <n v="15"/>
    <x v="32"/>
  </r>
  <r>
    <n v="10346"/>
    <d v="2025-12-31T00:00:00"/>
    <x v="1"/>
    <x v="1"/>
    <x v="0"/>
    <x v="4"/>
    <s v="Wholesale"/>
    <n v="1"/>
    <n v="300.91000000000003"/>
    <n v="10"/>
    <x v="33"/>
  </r>
  <r>
    <n v="10412"/>
    <d v="2025-11-25T00:00:00"/>
    <x v="1"/>
    <x v="1"/>
    <x v="1"/>
    <x v="4"/>
    <s v="Online"/>
    <n v="1"/>
    <n v="302.3"/>
    <n v="0"/>
    <x v="34"/>
  </r>
  <r>
    <n v="10456"/>
    <d v="2025-05-21T00:00:00"/>
    <x v="1"/>
    <x v="1"/>
    <x v="2"/>
    <x v="0"/>
    <s v="Retail"/>
    <n v="1"/>
    <n v="302.41000000000003"/>
    <n v="10"/>
    <x v="35"/>
  </r>
  <r>
    <n v="10209"/>
    <d v="2025-02-09T00:00:00"/>
    <x v="1"/>
    <x v="1"/>
    <x v="2"/>
    <x v="4"/>
    <s v="Online"/>
    <n v="1"/>
    <n v="303.83999999999997"/>
    <n v="20"/>
    <x v="36"/>
  </r>
  <r>
    <n v="10471"/>
    <d v="2025-08-12T00:00:00"/>
    <x v="1"/>
    <x v="1"/>
    <x v="0"/>
    <x v="3"/>
    <s v="Wholesale"/>
    <n v="1"/>
    <n v="305.19"/>
    <n v="10"/>
    <x v="37"/>
  </r>
  <r>
    <n v="10616"/>
    <d v="2025-10-03T00:00:00"/>
    <x v="1"/>
    <x v="1"/>
    <x v="1"/>
    <x v="5"/>
    <s v="Online"/>
    <n v="1"/>
    <n v="305.8"/>
    <n v="0"/>
    <x v="38"/>
  </r>
  <r>
    <n v="10126"/>
    <d v="2025-07-16T00:00:00"/>
    <x v="1"/>
    <x v="1"/>
    <x v="1"/>
    <x v="1"/>
    <s v="Online"/>
    <n v="1"/>
    <n v="309.88"/>
    <n v="0"/>
    <x v="39"/>
  </r>
  <r>
    <n v="10225"/>
    <d v="2025-12-07T00:00:00"/>
    <x v="1"/>
    <x v="1"/>
    <x v="3"/>
    <x v="1"/>
    <s v="Wholesale"/>
    <n v="1"/>
    <n v="312.56"/>
    <n v="10"/>
    <x v="40"/>
  </r>
  <r>
    <n v="10366"/>
    <d v="2025-12-11T00:00:00"/>
    <x v="0"/>
    <x v="0"/>
    <x v="0"/>
    <x v="2"/>
    <s v="Online"/>
    <n v="2"/>
    <n v="193.87"/>
    <n v="15"/>
    <x v="41"/>
  </r>
  <r>
    <n v="10235"/>
    <d v="2025-02-10T00:00:00"/>
    <x v="0"/>
    <x v="0"/>
    <x v="0"/>
    <x v="1"/>
    <s v="Retail"/>
    <n v="2"/>
    <n v="195.44"/>
    <n v="0"/>
    <x v="42"/>
  </r>
  <r>
    <n v="10410"/>
    <d v="2025-12-22T00:00:00"/>
    <x v="0"/>
    <x v="0"/>
    <x v="1"/>
    <x v="0"/>
    <s v="Retail"/>
    <n v="2"/>
    <n v="196.67"/>
    <n v="15"/>
    <x v="43"/>
  </r>
  <r>
    <n v="10062"/>
    <d v="2025-12-23T00:00:00"/>
    <x v="0"/>
    <x v="0"/>
    <x v="2"/>
    <x v="1"/>
    <s v="Retail"/>
    <n v="2"/>
    <n v="197.42"/>
    <n v="5"/>
    <x v="44"/>
  </r>
  <r>
    <n v="10170"/>
    <d v="2025-02-20T00:00:00"/>
    <x v="0"/>
    <x v="0"/>
    <x v="3"/>
    <x v="3"/>
    <s v="Online"/>
    <n v="2"/>
    <n v="197.61"/>
    <n v="0"/>
    <x v="45"/>
  </r>
  <r>
    <n v="10378"/>
    <d v="2025-07-22T00:00:00"/>
    <x v="0"/>
    <x v="0"/>
    <x v="3"/>
    <x v="3"/>
    <s v="Online"/>
    <n v="2"/>
    <n v="198"/>
    <n v="5"/>
    <x v="46"/>
  </r>
  <r>
    <n v="10458"/>
    <d v="2025-03-12T00:00:00"/>
    <x v="0"/>
    <x v="0"/>
    <x v="0"/>
    <x v="2"/>
    <s v="Online"/>
    <n v="2"/>
    <n v="201.6"/>
    <n v="20"/>
    <x v="47"/>
  </r>
  <r>
    <n v="10127"/>
    <d v="2025-06-24T00:00:00"/>
    <x v="0"/>
    <x v="0"/>
    <x v="2"/>
    <x v="4"/>
    <s v="Wholesale"/>
    <n v="2"/>
    <n v="205.72"/>
    <n v="10"/>
    <x v="48"/>
  </r>
  <r>
    <n v="10589"/>
    <d v="2025-10-06T00:00:00"/>
    <x v="0"/>
    <x v="0"/>
    <x v="0"/>
    <x v="4"/>
    <s v="Wholesale"/>
    <n v="2"/>
    <n v="206.63"/>
    <n v="15"/>
    <x v="49"/>
  </r>
  <r>
    <n v="10485"/>
    <d v="2025-10-20T00:00:00"/>
    <x v="0"/>
    <x v="0"/>
    <x v="0"/>
    <x v="2"/>
    <s v="Retail"/>
    <n v="3"/>
    <n v="189.13"/>
    <n v="0"/>
    <x v="50"/>
  </r>
  <r>
    <n v="10175"/>
    <d v="2025-01-27T00:00:00"/>
    <x v="0"/>
    <x v="0"/>
    <x v="2"/>
    <x v="1"/>
    <s v="Wholesale"/>
    <n v="3"/>
    <n v="191.11"/>
    <n v="10"/>
    <x v="51"/>
  </r>
  <r>
    <n v="10567"/>
    <d v="2025-04-21T00:00:00"/>
    <x v="0"/>
    <x v="0"/>
    <x v="0"/>
    <x v="2"/>
    <s v="Online"/>
    <n v="3"/>
    <n v="191.19"/>
    <n v="5"/>
    <x v="52"/>
  </r>
  <r>
    <n v="10566"/>
    <d v="2025-07-29T00:00:00"/>
    <x v="1"/>
    <x v="1"/>
    <x v="3"/>
    <x v="5"/>
    <s v="Online"/>
    <n v="2"/>
    <n v="289.66000000000003"/>
    <n v="20"/>
    <x v="53"/>
  </r>
  <r>
    <n v="10252"/>
    <d v="2025-06-05T00:00:00"/>
    <x v="1"/>
    <x v="1"/>
    <x v="1"/>
    <x v="2"/>
    <s v="Wholesale"/>
    <n v="2"/>
    <n v="294.39999999999998"/>
    <n v="10"/>
    <x v="54"/>
  </r>
  <r>
    <n v="10523"/>
    <d v="2025-12-15T00:00:00"/>
    <x v="1"/>
    <x v="1"/>
    <x v="2"/>
    <x v="3"/>
    <s v="Retail"/>
    <n v="2"/>
    <n v="294.67"/>
    <n v="15"/>
    <x v="55"/>
  </r>
  <r>
    <n v="10483"/>
    <d v="2025-01-28T00:00:00"/>
    <x v="1"/>
    <x v="1"/>
    <x v="3"/>
    <x v="5"/>
    <s v="Retail"/>
    <n v="2"/>
    <n v="296.29000000000002"/>
    <n v="10"/>
    <x v="56"/>
  </r>
  <r>
    <n v="10407"/>
    <d v="2025-01-27T00:00:00"/>
    <x v="1"/>
    <x v="1"/>
    <x v="0"/>
    <x v="3"/>
    <s v="Wholesale"/>
    <n v="2"/>
    <n v="296.88"/>
    <n v="0"/>
    <x v="57"/>
  </r>
  <r>
    <n v="10462"/>
    <d v="2025-02-21T00:00:00"/>
    <x v="1"/>
    <x v="1"/>
    <x v="1"/>
    <x v="3"/>
    <s v="Retail"/>
    <n v="2"/>
    <n v="300.01"/>
    <n v="20"/>
    <x v="58"/>
  </r>
  <r>
    <n v="10481"/>
    <d v="2025-03-24T00:00:00"/>
    <x v="0"/>
    <x v="0"/>
    <x v="3"/>
    <x v="1"/>
    <s v="Retail"/>
    <n v="3"/>
    <n v="200.87"/>
    <n v="10"/>
    <x v="59"/>
  </r>
  <r>
    <n v="10271"/>
    <d v="2025-06-17T00:00:00"/>
    <x v="1"/>
    <x v="1"/>
    <x v="2"/>
    <x v="2"/>
    <s v="Wholesale"/>
    <n v="2"/>
    <n v="301.8"/>
    <n v="10"/>
    <x v="60"/>
  </r>
  <r>
    <n v="10118"/>
    <d v="2025-06-18T00:00:00"/>
    <x v="1"/>
    <x v="1"/>
    <x v="0"/>
    <x v="3"/>
    <s v="Wholesale"/>
    <n v="2"/>
    <n v="303.86"/>
    <n v="5"/>
    <x v="61"/>
  </r>
  <r>
    <n v="10500"/>
    <d v="2025-03-15T00:00:00"/>
    <x v="0"/>
    <x v="0"/>
    <x v="0"/>
    <x v="4"/>
    <s v="Wholesale"/>
    <n v="3"/>
    <n v="202.79"/>
    <n v="0"/>
    <x v="62"/>
  </r>
  <r>
    <n v="10604"/>
    <d v="2025-07-20T00:00:00"/>
    <x v="1"/>
    <x v="1"/>
    <x v="2"/>
    <x v="3"/>
    <s v="Retail"/>
    <n v="2"/>
    <n v="304.3"/>
    <n v="20"/>
    <x v="63"/>
  </r>
  <r>
    <n v="10522"/>
    <d v="2025-05-31T00:00:00"/>
    <x v="1"/>
    <x v="1"/>
    <x v="3"/>
    <x v="0"/>
    <s v="Retail"/>
    <n v="2"/>
    <n v="305.73"/>
    <n v="10"/>
    <x v="64"/>
  </r>
  <r>
    <n v="10572"/>
    <d v="2025-03-12T00:00:00"/>
    <x v="1"/>
    <x v="1"/>
    <x v="0"/>
    <x v="1"/>
    <s v="Online"/>
    <n v="2"/>
    <n v="309.26"/>
    <n v="10"/>
    <x v="65"/>
  </r>
  <r>
    <n v="10321"/>
    <d v="2025-10-03T00:00:00"/>
    <x v="1"/>
    <x v="1"/>
    <x v="0"/>
    <x v="2"/>
    <s v="Retail"/>
    <n v="2"/>
    <n v="309.69"/>
    <n v="0"/>
    <x v="66"/>
  </r>
  <r>
    <n v="10441"/>
    <d v="2025-12-31T00:00:00"/>
    <x v="1"/>
    <x v="1"/>
    <x v="2"/>
    <x v="4"/>
    <s v="Retail"/>
    <n v="2"/>
    <n v="310.88"/>
    <n v="10"/>
    <x v="67"/>
  </r>
  <r>
    <n v="10474"/>
    <d v="2025-10-18T00:00:00"/>
    <x v="0"/>
    <x v="0"/>
    <x v="3"/>
    <x v="2"/>
    <s v="Online"/>
    <n v="3"/>
    <n v="207.38"/>
    <n v="10"/>
    <x v="68"/>
  </r>
  <r>
    <n v="10218"/>
    <d v="2025-02-11T00:00:00"/>
    <x v="0"/>
    <x v="0"/>
    <x v="2"/>
    <x v="2"/>
    <s v="Retail"/>
    <n v="3"/>
    <n v="207.57"/>
    <n v="20"/>
    <x v="69"/>
  </r>
  <r>
    <n v="10571"/>
    <d v="2025-11-08T00:00:00"/>
    <x v="0"/>
    <x v="0"/>
    <x v="1"/>
    <x v="5"/>
    <s v="Wholesale"/>
    <n v="3"/>
    <n v="208.36"/>
    <n v="5"/>
    <x v="70"/>
  </r>
  <r>
    <n v="10370"/>
    <d v="2025-10-16T00:00:00"/>
    <x v="2"/>
    <x v="1"/>
    <x v="0"/>
    <x v="5"/>
    <s v="Wholesale"/>
    <n v="1"/>
    <n v="759.89"/>
    <n v="0"/>
    <x v="71"/>
  </r>
  <r>
    <n v="10480"/>
    <d v="2025-05-31T00:00:00"/>
    <x v="2"/>
    <x v="1"/>
    <x v="3"/>
    <x v="5"/>
    <s v="Wholesale"/>
    <n v="1"/>
    <n v="764.98"/>
    <n v="0"/>
    <x v="72"/>
  </r>
  <r>
    <n v="10453"/>
    <d v="2025-02-03T00:00:00"/>
    <x v="2"/>
    <x v="1"/>
    <x v="1"/>
    <x v="3"/>
    <s v="Wholesale"/>
    <n v="1"/>
    <n v="766.4"/>
    <n v="20"/>
    <x v="73"/>
  </r>
  <r>
    <n v="10083"/>
    <d v="2025-01-16T00:00:00"/>
    <x v="2"/>
    <x v="1"/>
    <x v="1"/>
    <x v="2"/>
    <s v="Retail"/>
    <n v="1"/>
    <n v="778.11"/>
    <n v="5"/>
    <x v="74"/>
  </r>
  <r>
    <n v="10021"/>
    <d v="2025-02-27T00:00:00"/>
    <x v="2"/>
    <x v="1"/>
    <x v="2"/>
    <x v="5"/>
    <s v="Retail"/>
    <n v="1"/>
    <n v="778.3"/>
    <n v="10"/>
    <x v="75"/>
  </r>
  <r>
    <n v="10395"/>
    <d v="2025-10-19T00:00:00"/>
    <x v="2"/>
    <x v="1"/>
    <x v="2"/>
    <x v="1"/>
    <s v="Wholesale"/>
    <n v="1"/>
    <n v="784.91"/>
    <n v="15"/>
    <x v="76"/>
  </r>
  <r>
    <n v="10047"/>
    <d v="2025-02-17T00:00:00"/>
    <x v="2"/>
    <x v="1"/>
    <x v="0"/>
    <x v="5"/>
    <s v="Retail"/>
    <n v="1"/>
    <n v="785.7"/>
    <n v="0"/>
    <x v="77"/>
  </r>
  <r>
    <n v="10342"/>
    <d v="2025-11-23T00:00:00"/>
    <x v="2"/>
    <x v="1"/>
    <x v="3"/>
    <x v="3"/>
    <s v="Retail"/>
    <n v="1"/>
    <n v="798.99"/>
    <n v="5"/>
    <x v="78"/>
  </r>
  <r>
    <n v="10088"/>
    <d v="2025-06-27T00:00:00"/>
    <x v="2"/>
    <x v="1"/>
    <x v="0"/>
    <x v="3"/>
    <s v="Wholesale"/>
    <n v="1"/>
    <n v="799.48"/>
    <n v="0"/>
    <x v="79"/>
  </r>
  <r>
    <n v="10027"/>
    <d v="2025-04-28T00:00:00"/>
    <x v="2"/>
    <x v="1"/>
    <x v="3"/>
    <x v="4"/>
    <s v="Wholesale"/>
    <n v="1"/>
    <n v="800.13"/>
    <n v="0"/>
    <x v="80"/>
  </r>
  <r>
    <n v="10338"/>
    <d v="2025-09-15T00:00:00"/>
    <x v="2"/>
    <x v="1"/>
    <x v="0"/>
    <x v="2"/>
    <s v="Retail"/>
    <n v="1"/>
    <n v="800.95"/>
    <n v="0"/>
    <x v="81"/>
  </r>
  <r>
    <n v="10426"/>
    <d v="2025-06-08T00:00:00"/>
    <x v="2"/>
    <x v="1"/>
    <x v="1"/>
    <x v="4"/>
    <s v="Retail"/>
    <n v="1"/>
    <n v="815.1"/>
    <n v="0"/>
    <x v="82"/>
  </r>
  <r>
    <n v="10082"/>
    <d v="2025-10-04T00:00:00"/>
    <x v="2"/>
    <x v="1"/>
    <x v="3"/>
    <x v="5"/>
    <s v="Retail"/>
    <n v="1"/>
    <n v="821.47"/>
    <n v="15"/>
    <x v="83"/>
  </r>
  <r>
    <n v="10365"/>
    <d v="2025-08-25T00:00:00"/>
    <x v="2"/>
    <x v="1"/>
    <x v="1"/>
    <x v="0"/>
    <s v="Wholesale"/>
    <n v="1"/>
    <n v="824.49"/>
    <n v="20"/>
    <x v="84"/>
  </r>
  <r>
    <n v="10147"/>
    <d v="2025-10-24T00:00:00"/>
    <x v="2"/>
    <x v="1"/>
    <x v="2"/>
    <x v="3"/>
    <s v="Retail"/>
    <n v="1"/>
    <n v="831.73"/>
    <n v="0"/>
    <x v="85"/>
  </r>
  <r>
    <n v="10238"/>
    <d v="2025-02-08T00:00:00"/>
    <x v="2"/>
    <x v="1"/>
    <x v="0"/>
    <x v="5"/>
    <s v="Online"/>
    <n v="1"/>
    <n v="835.18"/>
    <n v="0"/>
    <x v="86"/>
  </r>
  <r>
    <n v="10568"/>
    <d v="2025-11-21T00:00:00"/>
    <x v="2"/>
    <x v="1"/>
    <x v="3"/>
    <x v="0"/>
    <s v="Wholesale"/>
    <n v="1"/>
    <n v="836.06"/>
    <n v="0"/>
    <x v="87"/>
  </r>
  <r>
    <n v="10577"/>
    <d v="2025-12-10T00:00:00"/>
    <x v="2"/>
    <x v="1"/>
    <x v="3"/>
    <x v="2"/>
    <s v="Wholesale"/>
    <n v="1"/>
    <n v="837.63"/>
    <n v="15"/>
    <x v="88"/>
  </r>
  <r>
    <n v="10576"/>
    <d v="2025-05-27T00:00:00"/>
    <x v="3"/>
    <x v="2"/>
    <x v="0"/>
    <x v="4"/>
    <s v="Online"/>
    <n v="1"/>
    <n v="856.32"/>
    <n v="0"/>
    <x v="89"/>
  </r>
  <r>
    <n v="10357"/>
    <d v="2025-05-05T00:00:00"/>
    <x v="3"/>
    <x v="2"/>
    <x v="1"/>
    <x v="3"/>
    <s v="Wholesale"/>
    <n v="1"/>
    <n v="866.53"/>
    <n v="0"/>
    <x v="90"/>
  </r>
  <r>
    <n v="10638"/>
    <d v="2025-09-16T00:00:00"/>
    <x v="3"/>
    <x v="2"/>
    <x v="0"/>
    <x v="2"/>
    <s v="Online"/>
    <n v="1"/>
    <n v="870"/>
    <n v="10"/>
    <x v="91"/>
  </r>
  <r>
    <n v="10377"/>
    <d v="2025-08-07T00:00:00"/>
    <x v="3"/>
    <x v="2"/>
    <x v="0"/>
    <x v="2"/>
    <s v="Wholesale"/>
    <n v="1"/>
    <n v="870.81"/>
    <n v="15"/>
    <x v="92"/>
  </r>
  <r>
    <n v="10121"/>
    <d v="2025-07-05T00:00:00"/>
    <x v="3"/>
    <x v="2"/>
    <x v="0"/>
    <x v="3"/>
    <s v="Wholesale"/>
    <n v="1"/>
    <n v="872.35"/>
    <n v="10"/>
    <x v="93"/>
  </r>
  <r>
    <n v="10193"/>
    <d v="2025-09-19T00:00:00"/>
    <x v="3"/>
    <x v="2"/>
    <x v="1"/>
    <x v="5"/>
    <s v="Wholesale"/>
    <n v="1"/>
    <n v="875.29"/>
    <n v="0"/>
    <x v="94"/>
  </r>
  <r>
    <n v="10533"/>
    <d v="2025-10-29T00:00:00"/>
    <x v="3"/>
    <x v="2"/>
    <x v="2"/>
    <x v="2"/>
    <s v="Retail"/>
    <n v="1"/>
    <n v="880.86"/>
    <n v="0"/>
    <x v="95"/>
  </r>
  <r>
    <n v="10204"/>
    <d v="2025-12-14T00:00:00"/>
    <x v="3"/>
    <x v="2"/>
    <x v="0"/>
    <x v="5"/>
    <s v="Wholesale"/>
    <n v="1"/>
    <n v="884.02"/>
    <n v="10"/>
    <x v="96"/>
  </r>
  <r>
    <n v="10267"/>
    <d v="2025-04-10T00:00:00"/>
    <x v="3"/>
    <x v="2"/>
    <x v="2"/>
    <x v="1"/>
    <s v="Wholesale"/>
    <n v="1"/>
    <n v="888.78"/>
    <n v="5"/>
    <x v="97"/>
  </r>
  <r>
    <n v="10301"/>
    <d v="2025-09-02T00:00:00"/>
    <x v="1"/>
    <x v="1"/>
    <x v="1"/>
    <x v="0"/>
    <s v="Online"/>
    <n v="3"/>
    <n v="296.48"/>
    <n v="10"/>
    <x v="98"/>
  </r>
  <r>
    <n v="10188"/>
    <d v="2025-10-14T00:00:00"/>
    <x v="3"/>
    <x v="2"/>
    <x v="2"/>
    <x v="4"/>
    <s v="Wholesale"/>
    <n v="1"/>
    <n v="893.27"/>
    <n v="5"/>
    <x v="99"/>
  </r>
  <r>
    <n v="10541"/>
    <d v="2025-11-13T00:00:00"/>
    <x v="3"/>
    <x v="2"/>
    <x v="3"/>
    <x v="5"/>
    <s v="Retail"/>
    <n v="1"/>
    <n v="898.8"/>
    <n v="10"/>
    <x v="100"/>
  </r>
  <r>
    <n v="10057"/>
    <d v="2025-06-19T00:00:00"/>
    <x v="3"/>
    <x v="2"/>
    <x v="3"/>
    <x v="4"/>
    <s v="Wholesale"/>
    <n v="1"/>
    <n v="906.25"/>
    <n v="0"/>
    <x v="101"/>
  </r>
  <r>
    <n v="10512"/>
    <d v="2025-01-11T00:00:00"/>
    <x v="3"/>
    <x v="2"/>
    <x v="3"/>
    <x v="0"/>
    <s v="Retail"/>
    <n v="1"/>
    <n v="908.09"/>
    <n v="0"/>
    <x v="102"/>
  </r>
  <r>
    <n v="10015"/>
    <d v="2025-09-10T00:00:00"/>
    <x v="3"/>
    <x v="2"/>
    <x v="3"/>
    <x v="4"/>
    <s v="Retail"/>
    <n v="1"/>
    <n v="910.46"/>
    <n v="20"/>
    <x v="103"/>
  </r>
  <r>
    <n v="10226"/>
    <d v="2025-09-17T00:00:00"/>
    <x v="3"/>
    <x v="2"/>
    <x v="3"/>
    <x v="0"/>
    <s v="Wholesale"/>
    <n v="1"/>
    <n v="911.2"/>
    <n v="0"/>
    <x v="104"/>
  </r>
  <r>
    <n v="10620"/>
    <d v="2025-02-16T00:00:00"/>
    <x v="3"/>
    <x v="2"/>
    <x v="0"/>
    <x v="5"/>
    <s v="Online"/>
    <n v="1"/>
    <n v="913.62"/>
    <n v="20"/>
    <x v="105"/>
  </r>
  <r>
    <n v="10574"/>
    <d v="2025-12-30T00:00:00"/>
    <x v="1"/>
    <x v="1"/>
    <x v="1"/>
    <x v="1"/>
    <s v="Online"/>
    <n v="3"/>
    <n v="305.29000000000002"/>
    <n v="20"/>
    <x v="106"/>
  </r>
  <r>
    <n v="10569"/>
    <d v="2025-01-25T00:00:00"/>
    <x v="3"/>
    <x v="2"/>
    <x v="0"/>
    <x v="1"/>
    <s v="Wholesale"/>
    <n v="1"/>
    <n v="916.24"/>
    <n v="0"/>
    <x v="107"/>
  </r>
  <r>
    <n v="10149"/>
    <d v="2025-05-12T00:00:00"/>
    <x v="1"/>
    <x v="1"/>
    <x v="0"/>
    <x v="5"/>
    <s v="Online"/>
    <n v="3"/>
    <n v="308.10000000000002"/>
    <n v="5"/>
    <x v="108"/>
  </r>
  <r>
    <n v="10417"/>
    <d v="2025-04-07T00:00:00"/>
    <x v="3"/>
    <x v="2"/>
    <x v="0"/>
    <x v="5"/>
    <s v="Online"/>
    <n v="1"/>
    <n v="924.51"/>
    <n v="20"/>
    <x v="109"/>
  </r>
  <r>
    <n v="10161"/>
    <d v="2025-04-17T00:00:00"/>
    <x v="3"/>
    <x v="2"/>
    <x v="1"/>
    <x v="2"/>
    <s v="Wholesale"/>
    <n v="1"/>
    <n v="924.95"/>
    <n v="10"/>
    <x v="110"/>
  </r>
  <r>
    <n v="10246"/>
    <d v="2025-05-29T00:00:00"/>
    <x v="3"/>
    <x v="2"/>
    <x v="2"/>
    <x v="2"/>
    <s v="Online"/>
    <n v="1"/>
    <n v="925.4"/>
    <n v="10"/>
    <x v="111"/>
  </r>
  <r>
    <n v="10650"/>
    <d v="2025-11-11T00:00:00"/>
    <x v="3"/>
    <x v="2"/>
    <x v="3"/>
    <x v="2"/>
    <s v="Wholesale"/>
    <n v="1"/>
    <n v="926.36"/>
    <n v="20"/>
    <x v="112"/>
  </r>
  <r>
    <n v="10251"/>
    <d v="2025-11-24T00:00:00"/>
    <x v="3"/>
    <x v="2"/>
    <x v="1"/>
    <x v="2"/>
    <s v="Wholesale"/>
    <n v="1"/>
    <n v="928.79"/>
    <n v="10"/>
    <x v="113"/>
  </r>
  <r>
    <n v="10037"/>
    <d v="2025-09-29T00:00:00"/>
    <x v="3"/>
    <x v="2"/>
    <x v="1"/>
    <x v="4"/>
    <s v="Online"/>
    <n v="1"/>
    <n v="930.59"/>
    <n v="0"/>
    <x v="114"/>
  </r>
  <r>
    <n v="10464"/>
    <d v="2025-04-01T00:00:00"/>
    <x v="1"/>
    <x v="1"/>
    <x v="1"/>
    <x v="1"/>
    <s v="Wholesale"/>
    <n v="3"/>
    <n v="311.38"/>
    <n v="0"/>
    <x v="115"/>
  </r>
  <r>
    <n v="10636"/>
    <d v="2025-11-16T00:00:00"/>
    <x v="1"/>
    <x v="1"/>
    <x v="2"/>
    <x v="2"/>
    <s v="Online"/>
    <n v="3"/>
    <n v="311.63"/>
    <n v="10"/>
    <x v="116"/>
  </r>
  <r>
    <n v="10060"/>
    <d v="2025-12-18T00:00:00"/>
    <x v="3"/>
    <x v="2"/>
    <x v="1"/>
    <x v="5"/>
    <s v="Wholesale"/>
    <n v="1"/>
    <n v="939.35"/>
    <n v="0"/>
    <x v="117"/>
  </r>
  <r>
    <n v="10345"/>
    <d v="2025-10-16T00:00:00"/>
    <x v="3"/>
    <x v="2"/>
    <x v="3"/>
    <x v="2"/>
    <s v="Wholesale"/>
    <n v="1"/>
    <n v="940.49"/>
    <n v="10"/>
    <x v="118"/>
  </r>
  <r>
    <n v="10526"/>
    <d v="2025-06-02T00:00:00"/>
    <x v="3"/>
    <x v="2"/>
    <x v="0"/>
    <x v="4"/>
    <s v="Retail"/>
    <n v="1"/>
    <n v="943.26"/>
    <n v="0"/>
    <x v="119"/>
  </r>
  <r>
    <n v="10290"/>
    <d v="2025-01-20T00:00:00"/>
    <x v="3"/>
    <x v="2"/>
    <x v="1"/>
    <x v="0"/>
    <s v="Retail"/>
    <n v="1"/>
    <n v="943.7"/>
    <n v="5"/>
    <x v="120"/>
  </r>
  <r>
    <n v="10075"/>
    <d v="2025-07-28T00:00:00"/>
    <x v="0"/>
    <x v="0"/>
    <x v="2"/>
    <x v="1"/>
    <s v="Wholesale"/>
    <n v="5"/>
    <n v="190.29"/>
    <n v="20"/>
    <x v="121"/>
  </r>
  <r>
    <n v="10034"/>
    <d v="2025-01-31T00:00:00"/>
    <x v="0"/>
    <x v="0"/>
    <x v="1"/>
    <x v="0"/>
    <s v="Retail"/>
    <n v="5"/>
    <n v="194.33"/>
    <n v="20"/>
    <x v="122"/>
  </r>
  <r>
    <n v="10029"/>
    <d v="2025-04-08T00:00:00"/>
    <x v="0"/>
    <x v="0"/>
    <x v="3"/>
    <x v="4"/>
    <s v="Online"/>
    <n v="5"/>
    <n v="196.1"/>
    <n v="5"/>
    <x v="123"/>
  </r>
  <r>
    <n v="10130"/>
    <d v="2025-01-23T00:00:00"/>
    <x v="0"/>
    <x v="0"/>
    <x v="2"/>
    <x v="3"/>
    <s v="Wholesale"/>
    <n v="5"/>
    <n v="196.73"/>
    <n v="15"/>
    <x v="124"/>
  </r>
  <r>
    <n v="10078"/>
    <d v="2025-09-06T00:00:00"/>
    <x v="0"/>
    <x v="0"/>
    <x v="3"/>
    <x v="0"/>
    <s v="Wholesale"/>
    <n v="5"/>
    <n v="203.46"/>
    <n v="20"/>
    <x v="125"/>
  </r>
  <r>
    <n v="10066"/>
    <d v="2025-12-11T00:00:00"/>
    <x v="4"/>
    <x v="2"/>
    <x v="2"/>
    <x v="2"/>
    <s v="Retail"/>
    <n v="1"/>
    <n v="1237.22"/>
    <n v="0"/>
    <x v="126"/>
  </r>
  <r>
    <n v="10036"/>
    <d v="2025-01-30T00:00:00"/>
    <x v="4"/>
    <x v="2"/>
    <x v="3"/>
    <x v="3"/>
    <s v="Wholesale"/>
    <n v="1"/>
    <n v="1240.56"/>
    <n v="5"/>
    <x v="127"/>
  </r>
  <r>
    <n v="10111"/>
    <d v="2025-11-28T00:00:00"/>
    <x v="4"/>
    <x v="2"/>
    <x v="1"/>
    <x v="5"/>
    <s v="Retail"/>
    <n v="1"/>
    <n v="1241.8"/>
    <n v="20"/>
    <x v="128"/>
  </r>
  <r>
    <n v="10445"/>
    <d v="2025-02-08T00:00:00"/>
    <x v="4"/>
    <x v="2"/>
    <x v="1"/>
    <x v="2"/>
    <s v="Online"/>
    <n v="1"/>
    <n v="1254.24"/>
    <n v="0"/>
    <x v="129"/>
  </r>
  <r>
    <n v="10536"/>
    <d v="2025-01-12T00:00:00"/>
    <x v="4"/>
    <x v="2"/>
    <x v="1"/>
    <x v="4"/>
    <s v="Wholesale"/>
    <n v="1"/>
    <n v="1282.79"/>
    <n v="15"/>
    <x v="130"/>
  </r>
  <r>
    <n v="10031"/>
    <d v="2025-04-09T00:00:00"/>
    <x v="4"/>
    <x v="2"/>
    <x v="1"/>
    <x v="1"/>
    <s v="Wholesale"/>
    <n v="1"/>
    <n v="1288.8499999999999"/>
    <n v="0"/>
    <x v="131"/>
  </r>
  <r>
    <n v="10425"/>
    <d v="2025-01-30T00:00:00"/>
    <x v="4"/>
    <x v="2"/>
    <x v="1"/>
    <x v="4"/>
    <s v="Wholesale"/>
    <n v="1"/>
    <n v="1292.94"/>
    <n v="10"/>
    <x v="132"/>
  </r>
  <r>
    <n v="10124"/>
    <d v="2025-02-28T00:00:00"/>
    <x v="4"/>
    <x v="2"/>
    <x v="0"/>
    <x v="4"/>
    <s v="Online"/>
    <n v="1"/>
    <n v="1298.79"/>
    <n v="15"/>
    <x v="133"/>
  </r>
  <r>
    <n v="10323"/>
    <d v="2025-06-19T00:00:00"/>
    <x v="4"/>
    <x v="2"/>
    <x v="3"/>
    <x v="0"/>
    <s v="Wholesale"/>
    <n v="1"/>
    <n v="1303.6300000000001"/>
    <n v="20"/>
    <x v="134"/>
  </r>
  <r>
    <n v="10529"/>
    <d v="2025-03-28T00:00:00"/>
    <x v="4"/>
    <x v="2"/>
    <x v="1"/>
    <x v="0"/>
    <s v="Retail"/>
    <n v="1"/>
    <n v="1313.87"/>
    <n v="15"/>
    <x v="135"/>
  </r>
  <r>
    <n v="10278"/>
    <d v="2025-07-30T00:00:00"/>
    <x v="4"/>
    <x v="2"/>
    <x v="0"/>
    <x v="3"/>
    <s v="Online"/>
    <n v="1"/>
    <n v="1325.73"/>
    <n v="10"/>
    <x v="136"/>
  </r>
  <r>
    <n v="10477"/>
    <d v="2025-05-08T00:00:00"/>
    <x v="4"/>
    <x v="2"/>
    <x v="3"/>
    <x v="5"/>
    <s v="Wholesale"/>
    <n v="1"/>
    <n v="1327.63"/>
    <n v="0"/>
    <x v="137"/>
  </r>
  <r>
    <n v="10518"/>
    <d v="2025-01-30T00:00:00"/>
    <x v="4"/>
    <x v="2"/>
    <x v="0"/>
    <x v="3"/>
    <s v="Wholesale"/>
    <n v="1"/>
    <n v="1327.74"/>
    <n v="15"/>
    <x v="138"/>
  </r>
  <r>
    <n v="10562"/>
    <d v="2025-12-02T00:00:00"/>
    <x v="4"/>
    <x v="2"/>
    <x v="0"/>
    <x v="5"/>
    <s v="Wholesale"/>
    <n v="1"/>
    <n v="1340.12"/>
    <n v="20"/>
    <x v="139"/>
  </r>
  <r>
    <n v="10324"/>
    <d v="2025-01-27T00:00:00"/>
    <x v="4"/>
    <x v="2"/>
    <x v="2"/>
    <x v="0"/>
    <s v="Online"/>
    <n v="1"/>
    <n v="1347.53"/>
    <n v="0"/>
    <x v="140"/>
  </r>
  <r>
    <n v="10405"/>
    <d v="2025-12-19T00:00:00"/>
    <x v="4"/>
    <x v="2"/>
    <x v="1"/>
    <x v="3"/>
    <s v="Wholesale"/>
    <n v="1"/>
    <n v="1347.64"/>
    <n v="0"/>
    <x v="141"/>
  </r>
  <r>
    <n v="10494"/>
    <d v="2025-04-09T00:00:00"/>
    <x v="4"/>
    <x v="2"/>
    <x v="1"/>
    <x v="4"/>
    <s v="Wholesale"/>
    <n v="1"/>
    <n v="1362.43"/>
    <n v="5"/>
    <x v="142"/>
  </r>
  <r>
    <n v="10216"/>
    <d v="2025-05-20T00:00:00"/>
    <x v="1"/>
    <x v="1"/>
    <x v="0"/>
    <x v="1"/>
    <s v="Retail"/>
    <n v="5"/>
    <n v="286.79000000000002"/>
    <n v="0"/>
    <x v="143"/>
  </r>
  <r>
    <n v="10613"/>
    <d v="2025-01-03T00:00:00"/>
    <x v="1"/>
    <x v="1"/>
    <x v="2"/>
    <x v="2"/>
    <s v="Retail"/>
    <n v="5"/>
    <n v="292.32"/>
    <n v="0"/>
    <x v="144"/>
  </r>
  <r>
    <n v="10080"/>
    <d v="2025-08-25T00:00:00"/>
    <x v="1"/>
    <x v="1"/>
    <x v="1"/>
    <x v="4"/>
    <s v="Wholesale"/>
    <n v="5"/>
    <n v="293.83999999999997"/>
    <n v="5"/>
    <x v="145"/>
  </r>
  <r>
    <n v="10164"/>
    <d v="2025-05-16T00:00:00"/>
    <x v="1"/>
    <x v="1"/>
    <x v="3"/>
    <x v="2"/>
    <s v="Online"/>
    <n v="5"/>
    <n v="299.77999999999997"/>
    <n v="15"/>
    <x v="146"/>
  </r>
  <r>
    <n v="10503"/>
    <d v="2025-06-03T00:00:00"/>
    <x v="1"/>
    <x v="1"/>
    <x v="0"/>
    <x v="5"/>
    <s v="Wholesale"/>
    <n v="5"/>
    <n v="302.14"/>
    <n v="0"/>
    <x v="147"/>
  </r>
  <r>
    <n v="10133"/>
    <d v="2025-02-08T00:00:00"/>
    <x v="1"/>
    <x v="1"/>
    <x v="0"/>
    <x v="5"/>
    <s v="Wholesale"/>
    <n v="5"/>
    <n v="303.48"/>
    <n v="20"/>
    <x v="148"/>
  </r>
  <r>
    <n v="10160"/>
    <d v="2025-01-26T00:00:00"/>
    <x v="2"/>
    <x v="1"/>
    <x v="2"/>
    <x v="2"/>
    <s v="Retail"/>
    <n v="2"/>
    <n v="764.53"/>
    <n v="20"/>
    <x v="149"/>
  </r>
  <r>
    <n v="10450"/>
    <d v="2025-07-27T00:00:00"/>
    <x v="2"/>
    <x v="1"/>
    <x v="0"/>
    <x v="1"/>
    <s v="Online"/>
    <n v="2"/>
    <n v="766.62"/>
    <n v="0"/>
    <x v="150"/>
  </r>
  <r>
    <n v="10507"/>
    <d v="2025-08-22T00:00:00"/>
    <x v="2"/>
    <x v="1"/>
    <x v="3"/>
    <x v="5"/>
    <s v="Online"/>
    <n v="2"/>
    <n v="780.94"/>
    <n v="20"/>
    <x v="151"/>
  </r>
  <r>
    <n v="10186"/>
    <d v="2025-04-15T00:00:00"/>
    <x v="2"/>
    <x v="1"/>
    <x v="2"/>
    <x v="2"/>
    <s v="Retail"/>
    <n v="2"/>
    <n v="782.18"/>
    <n v="0"/>
    <x v="152"/>
  </r>
  <r>
    <n v="10433"/>
    <d v="2025-10-11T00:00:00"/>
    <x v="2"/>
    <x v="1"/>
    <x v="0"/>
    <x v="2"/>
    <s v="Wholesale"/>
    <n v="2"/>
    <n v="792.31"/>
    <n v="15"/>
    <x v="153"/>
  </r>
  <r>
    <n v="10337"/>
    <d v="2025-09-30T00:00:00"/>
    <x v="2"/>
    <x v="1"/>
    <x v="0"/>
    <x v="4"/>
    <s v="Retail"/>
    <n v="2"/>
    <n v="801.86"/>
    <n v="0"/>
    <x v="154"/>
  </r>
  <r>
    <n v="10017"/>
    <d v="2025-12-15T00:00:00"/>
    <x v="2"/>
    <x v="1"/>
    <x v="3"/>
    <x v="3"/>
    <s v="Online"/>
    <n v="2"/>
    <n v="820.46"/>
    <n v="0"/>
    <x v="155"/>
  </r>
  <r>
    <n v="10162"/>
    <d v="2025-05-22T00:00:00"/>
    <x v="2"/>
    <x v="1"/>
    <x v="1"/>
    <x v="2"/>
    <s v="Online"/>
    <n v="2"/>
    <n v="822.85"/>
    <n v="0"/>
    <x v="156"/>
  </r>
  <r>
    <n v="10489"/>
    <d v="2025-05-15T00:00:00"/>
    <x v="2"/>
    <x v="1"/>
    <x v="0"/>
    <x v="0"/>
    <s v="Wholesale"/>
    <n v="2"/>
    <n v="825.93"/>
    <n v="10"/>
    <x v="157"/>
  </r>
  <r>
    <n v="10561"/>
    <d v="2025-10-13T00:00:00"/>
    <x v="2"/>
    <x v="1"/>
    <x v="3"/>
    <x v="4"/>
    <s v="Online"/>
    <n v="2"/>
    <n v="830.17"/>
    <n v="10"/>
    <x v="158"/>
  </r>
  <r>
    <n v="10479"/>
    <d v="2025-07-12T00:00:00"/>
    <x v="3"/>
    <x v="2"/>
    <x v="3"/>
    <x v="0"/>
    <s v="Online"/>
    <n v="2"/>
    <n v="868.67"/>
    <n v="0"/>
    <x v="159"/>
  </r>
  <r>
    <n v="10100"/>
    <d v="2025-11-02T00:00:00"/>
    <x v="3"/>
    <x v="2"/>
    <x v="2"/>
    <x v="4"/>
    <s v="Retail"/>
    <n v="2"/>
    <n v="874.5"/>
    <n v="0"/>
    <x v="160"/>
  </r>
  <r>
    <n v="10119"/>
    <d v="2025-01-19T00:00:00"/>
    <x v="3"/>
    <x v="2"/>
    <x v="0"/>
    <x v="4"/>
    <s v="Wholesale"/>
    <n v="2"/>
    <n v="883.11"/>
    <n v="20"/>
    <x v="161"/>
  </r>
  <r>
    <n v="10042"/>
    <d v="2025-05-16T00:00:00"/>
    <x v="3"/>
    <x v="2"/>
    <x v="1"/>
    <x v="5"/>
    <s v="Retail"/>
    <n v="2"/>
    <n v="887.27"/>
    <n v="0"/>
    <x v="162"/>
  </r>
  <r>
    <n v="10169"/>
    <d v="2025-12-31T00:00:00"/>
    <x v="3"/>
    <x v="2"/>
    <x v="2"/>
    <x v="0"/>
    <s v="Online"/>
    <n v="2"/>
    <n v="894.84"/>
    <n v="10"/>
    <x v="163"/>
  </r>
  <r>
    <n v="10545"/>
    <d v="2025-02-08T00:00:00"/>
    <x v="3"/>
    <x v="2"/>
    <x v="3"/>
    <x v="5"/>
    <s v="Online"/>
    <n v="2"/>
    <n v="895.11"/>
    <n v="0"/>
    <x v="164"/>
  </r>
  <r>
    <n v="10272"/>
    <d v="2025-09-30T00:00:00"/>
    <x v="3"/>
    <x v="2"/>
    <x v="0"/>
    <x v="3"/>
    <s v="Online"/>
    <n v="2"/>
    <n v="896.74"/>
    <n v="0"/>
    <x v="165"/>
  </r>
  <r>
    <n v="10151"/>
    <d v="2025-07-07T00:00:00"/>
    <x v="3"/>
    <x v="2"/>
    <x v="3"/>
    <x v="0"/>
    <s v="Retail"/>
    <n v="2"/>
    <n v="902.29"/>
    <n v="5"/>
    <x v="166"/>
  </r>
  <r>
    <n v="10002"/>
    <d v="2025-12-13T00:00:00"/>
    <x v="5"/>
    <x v="1"/>
    <x v="3"/>
    <x v="1"/>
    <s v="Wholesale"/>
    <n v="1"/>
    <n v="1809.71"/>
    <n v="0"/>
    <x v="167"/>
  </r>
  <r>
    <n v="10129"/>
    <d v="2025-07-13T00:00:00"/>
    <x v="3"/>
    <x v="2"/>
    <x v="0"/>
    <x v="5"/>
    <s v="Retail"/>
    <n v="2"/>
    <n v="905.45"/>
    <n v="0"/>
    <x v="168"/>
  </r>
  <r>
    <n v="10141"/>
    <d v="2025-03-22T00:00:00"/>
    <x v="3"/>
    <x v="2"/>
    <x v="3"/>
    <x v="0"/>
    <s v="Wholesale"/>
    <n v="2"/>
    <n v="911.49"/>
    <n v="5"/>
    <x v="169"/>
  </r>
  <r>
    <n v="10022"/>
    <d v="2025-02-13T00:00:00"/>
    <x v="5"/>
    <x v="1"/>
    <x v="0"/>
    <x v="4"/>
    <s v="Online"/>
    <n v="1"/>
    <n v="1828.43"/>
    <n v="5"/>
    <x v="170"/>
  </r>
  <r>
    <n v="10184"/>
    <d v="2025-02-28T00:00:00"/>
    <x v="3"/>
    <x v="2"/>
    <x v="2"/>
    <x v="0"/>
    <s v="Retail"/>
    <n v="2"/>
    <n v="915.02"/>
    <n v="10"/>
    <x v="171"/>
  </r>
  <r>
    <n v="10629"/>
    <d v="2025-09-21T00:00:00"/>
    <x v="5"/>
    <x v="1"/>
    <x v="2"/>
    <x v="2"/>
    <s v="Retail"/>
    <n v="1"/>
    <n v="1833.93"/>
    <n v="10"/>
    <x v="172"/>
  </r>
  <r>
    <n v="10045"/>
    <d v="2025-03-21T00:00:00"/>
    <x v="3"/>
    <x v="2"/>
    <x v="2"/>
    <x v="5"/>
    <s v="Online"/>
    <n v="2"/>
    <n v="918.56"/>
    <n v="0"/>
    <x v="173"/>
  </r>
  <r>
    <n v="10506"/>
    <d v="2025-10-19T00:00:00"/>
    <x v="3"/>
    <x v="2"/>
    <x v="3"/>
    <x v="2"/>
    <s v="Retail"/>
    <n v="2"/>
    <n v="929.29"/>
    <n v="0"/>
    <x v="174"/>
  </r>
  <r>
    <n v="10584"/>
    <d v="2025-04-06T00:00:00"/>
    <x v="5"/>
    <x v="1"/>
    <x v="1"/>
    <x v="3"/>
    <s v="Online"/>
    <n v="1"/>
    <n v="1875.68"/>
    <n v="5"/>
    <x v="175"/>
  </r>
  <r>
    <n v="10411"/>
    <d v="2025-02-22T00:00:00"/>
    <x v="5"/>
    <x v="1"/>
    <x v="2"/>
    <x v="5"/>
    <s v="Wholesale"/>
    <n v="1"/>
    <n v="1876.73"/>
    <n v="20"/>
    <x v="176"/>
  </r>
  <r>
    <n v="10191"/>
    <d v="2025-05-05T00:00:00"/>
    <x v="5"/>
    <x v="1"/>
    <x v="0"/>
    <x v="1"/>
    <s v="Wholesale"/>
    <n v="1"/>
    <n v="1879.21"/>
    <n v="0"/>
    <x v="177"/>
  </r>
  <r>
    <n v="10540"/>
    <d v="2025-12-06T00:00:00"/>
    <x v="5"/>
    <x v="1"/>
    <x v="2"/>
    <x v="1"/>
    <s v="Online"/>
    <n v="1"/>
    <n v="1883.59"/>
    <n v="0"/>
    <x v="178"/>
  </r>
  <r>
    <n v="10136"/>
    <d v="2025-08-11T00:00:00"/>
    <x v="5"/>
    <x v="1"/>
    <x v="3"/>
    <x v="3"/>
    <s v="Online"/>
    <n v="1"/>
    <n v="1888.3"/>
    <n v="15"/>
    <x v="179"/>
  </r>
  <r>
    <n v="10165"/>
    <d v="2025-09-01T00:00:00"/>
    <x v="5"/>
    <x v="1"/>
    <x v="0"/>
    <x v="5"/>
    <s v="Online"/>
    <n v="1"/>
    <n v="1889.89"/>
    <n v="0"/>
    <x v="180"/>
  </r>
  <r>
    <n v="10076"/>
    <d v="2025-07-19T00:00:00"/>
    <x v="0"/>
    <x v="0"/>
    <x v="3"/>
    <x v="1"/>
    <s v="Wholesale"/>
    <n v="10"/>
    <n v="189.17"/>
    <n v="0"/>
    <x v="181"/>
  </r>
  <r>
    <n v="10499"/>
    <d v="2025-05-16T00:00:00"/>
    <x v="0"/>
    <x v="0"/>
    <x v="0"/>
    <x v="3"/>
    <s v="Wholesale"/>
    <n v="10"/>
    <n v="189.8"/>
    <n v="0"/>
    <x v="182"/>
  </r>
  <r>
    <n v="10167"/>
    <d v="2025-08-07T00:00:00"/>
    <x v="0"/>
    <x v="0"/>
    <x v="3"/>
    <x v="0"/>
    <s v="Online"/>
    <n v="10"/>
    <n v="190.51"/>
    <n v="0"/>
    <x v="183"/>
  </r>
  <r>
    <n v="10177"/>
    <d v="2025-05-23T00:00:00"/>
    <x v="5"/>
    <x v="1"/>
    <x v="1"/>
    <x v="0"/>
    <s v="Online"/>
    <n v="1"/>
    <n v="1919.7"/>
    <n v="15"/>
    <x v="184"/>
  </r>
  <r>
    <n v="10206"/>
    <d v="2025-06-08T00:00:00"/>
    <x v="5"/>
    <x v="1"/>
    <x v="0"/>
    <x v="3"/>
    <s v="Wholesale"/>
    <n v="1"/>
    <n v="1931.31"/>
    <n v="20"/>
    <x v="185"/>
  </r>
  <r>
    <n v="10287"/>
    <d v="2025-07-31T00:00:00"/>
    <x v="5"/>
    <x v="1"/>
    <x v="2"/>
    <x v="3"/>
    <s v="Wholesale"/>
    <n v="1"/>
    <n v="1933.41"/>
    <n v="0"/>
    <x v="186"/>
  </r>
  <r>
    <n v="10074"/>
    <d v="2025-03-12T00:00:00"/>
    <x v="5"/>
    <x v="1"/>
    <x v="1"/>
    <x v="2"/>
    <s v="Wholesale"/>
    <n v="1"/>
    <n v="1938.2"/>
    <n v="0"/>
    <x v="187"/>
  </r>
  <r>
    <n v="10643"/>
    <d v="2025-05-26T00:00:00"/>
    <x v="5"/>
    <x v="1"/>
    <x v="0"/>
    <x v="5"/>
    <s v="Retail"/>
    <n v="1"/>
    <n v="1938.72"/>
    <n v="20"/>
    <x v="188"/>
  </r>
  <r>
    <n v="10559"/>
    <d v="2025-08-24T00:00:00"/>
    <x v="5"/>
    <x v="1"/>
    <x v="0"/>
    <x v="1"/>
    <s v="Wholesale"/>
    <n v="1"/>
    <n v="1966.72"/>
    <n v="5"/>
    <x v="189"/>
  </r>
  <r>
    <n v="10120"/>
    <d v="2025-09-21T00:00:00"/>
    <x v="0"/>
    <x v="0"/>
    <x v="3"/>
    <x v="3"/>
    <s v="Online"/>
    <n v="10"/>
    <n v="197.27"/>
    <n v="0"/>
    <x v="190"/>
  </r>
  <r>
    <n v="10018"/>
    <d v="2025-05-31T00:00:00"/>
    <x v="5"/>
    <x v="1"/>
    <x v="0"/>
    <x v="2"/>
    <s v="Wholesale"/>
    <n v="1"/>
    <n v="1985.18"/>
    <n v="15"/>
    <x v="191"/>
  </r>
  <r>
    <n v="10064"/>
    <d v="2025-10-24T00:00:00"/>
    <x v="0"/>
    <x v="0"/>
    <x v="2"/>
    <x v="0"/>
    <s v="Wholesale"/>
    <n v="10"/>
    <n v="202.49"/>
    <n v="10"/>
    <x v="192"/>
  </r>
  <r>
    <n v="10478"/>
    <d v="2025-08-13T00:00:00"/>
    <x v="0"/>
    <x v="0"/>
    <x v="0"/>
    <x v="2"/>
    <s v="Wholesale"/>
    <n v="10"/>
    <n v="206.6"/>
    <n v="0"/>
    <x v="193"/>
  </r>
  <r>
    <n v="10166"/>
    <d v="2025-01-23T00:00:00"/>
    <x v="6"/>
    <x v="1"/>
    <x v="2"/>
    <x v="0"/>
    <s v="Online"/>
    <n v="1"/>
    <n v="2198.0300000000002"/>
    <n v="5"/>
    <x v="194"/>
  </r>
  <r>
    <n v="10248"/>
    <d v="2025-07-08T00:00:00"/>
    <x v="6"/>
    <x v="1"/>
    <x v="0"/>
    <x v="1"/>
    <s v="Retail"/>
    <n v="1"/>
    <n v="2199.17"/>
    <n v="5"/>
    <x v="195"/>
  </r>
  <r>
    <n v="10026"/>
    <d v="2025-10-11T00:00:00"/>
    <x v="6"/>
    <x v="1"/>
    <x v="1"/>
    <x v="1"/>
    <s v="Retail"/>
    <n v="1"/>
    <n v="2200.37"/>
    <n v="15"/>
    <x v="196"/>
  </r>
  <r>
    <n v="10403"/>
    <d v="2025-09-06T00:00:00"/>
    <x v="6"/>
    <x v="1"/>
    <x v="2"/>
    <x v="3"/>
    <s v="Retail"/>
    <n v="1"/>
    <n v="2206.94"/>
    <n v="20"/>
    <x v="197"/>
  </r>
  <r>
    <n v="10637"/>
    <d v="2025-02-05T00:00:00"/>
    <x v="6"/>
    <x v="1"/>
    <x v="1"/>
    <x v="0"/>
    <s v="Wholesale"/>
    <n v="1"/>
    <n v="2209.0100000000002"/>
    <n v="0"/>
    <x v="198"/>
  </r>
  <r>
    <n v="10139"/>
    <d v="2025-07-15T00:00:00"/>
    <x v="6"/>
    <x v="1"/>
    <x v="1"/>
    <x v="0"/>
    <s v="Online"/>
    <n v="1"/>
    <n v="2237.4299999999998"/>
    <n v="15"/>
    <x v="199"/>
  </r>
  <r>
    <n v="10239"/>
    <d v="2025-12-14T00:00:00"/>
    <x v="6"/>
    <x v="1"/>
    <x v="0"/>
    <x v="4"/>
    <s v="Retail"/>
    <n v="1"/>
    <n v="2238.31"/>
    <n v="15"/>
    <x v="200"/>
  </r>
  <r>
    <n v="10315"/>
    <d v="2025-01-18T00:00:00"/>
    <x v="6"/>
    <x v="1"/>
    <x v="0"/>
    <x v="1"/>
    <s v="Online"/>
    <n v="1"/>
    <n v="2240.31"/>
    <n v="0"/>
    <x v="201"/>
  </r>
  <r>
    <n v="10606"/>
    <d v="2025-11-02T00:00:00"/>
    <x v="6"/>
    <x v="1"/>
    <x v="0"/>
    <x v="1"/>
    <s v="Online"/>
    <n v="1"/>
    <n v="2254.1"/>
    <n v="15"/>
    <x v="202"/>
  </r>
  <r>
    <n v="10467"/>
    <d v="2025-04-23T00:00:00"/>
    <x v="6"/>
    <x v="1"/>
    <x v="3"/>
    <x v="1"/>
    <s v="Wholesale"/>
    <n v="1"/>
    <n v="2260.3200000000002"/>
    <n v="10"/>
    <x v="203"/>
  </r>
  <r>
    <n v="10190"/>
    <d v="2025-06-16T00:00:00"/>
    <x v="2"/>
    <x v="1"/>
    <x v="1"/>
    <x v="1"/>
    <s v="Wholesale"/>
    <n v="3"/>
    <n v="766.09"/>
    <n v="20"/>
    <x v="204"/>
  </r>
  <r>
    <n v="10256"/>
    <d v="2025-05-16T00:00:00"/>
    <x v="6"/>
    <x v="1"/>
    <x v="1"/>
    <x v="1"/>
    <s v="Wholesale"/>
    <n v="1"/>
    <n v="2298.5500000000002"/>
    <n v="15"/>
    <x v="205"/>
  </r>
  <r>
    <n v="10123"/>
    <d v="2025-05-03T00:00:00"/>
    <x v="6"/>
    <x v="1"/>
    <x v="1"/>
    <x v="5"/>
    <s v="Online"/>
    <n v="1"/>
    <n v="2311.0100000000002"/>
    <n v="0"/>
    <x v="206"/>
  </r>
  <r>
    <n v="10085"/>
    <d v="2025-11-07T00:00:00"/>
    <x v="6"/>
    <x v="1"/>
    <x v="3"/>
    <x v="2"/>
    <s v="Wholesale"/>
    <n v="1"/>
    <n v="2317.09"/>
    <n v="0"/>
    <x v="207"/>
  </r>
  <r>
    <n v="10254"/>
    <d v="2025-10-01T00:00:00"/>
    <x v="6"/>
    <x v="1"/>
    <x v="3"/>
    <x v="1"/>
    <s v="Online"/>
    <n v="1"/>
    <n v="2320.11"/>
    <n v="10"/>
    <x v="208"/>
  </r>
  <r>
    <n v="10020"/>
    <d v="2025-04-12T00:00:00"/>
    <x v="6"/>
    <x v="1"/>
    <x v="1"/>
    <x v="5"/>
    <s v="Retail"/>
    <n v="1"/>
    <n v="2321.75"/>
    <n v="5"/>
    <x v="209"/>
  </r>
  <r>
    <n v="10182"/>
    <d v="2025-02-13T00:00:00"/>
    <x v="6"/>
    <x v="1"/>
    <x v="3"/>
    <x v="2"/>
    <s v="Retail"/>
    <n v="1"/>
    <n v="2339"/>
    <n v="0"/>
    <x v="210"/>
  </r>
  <r>
    <n v="10071"/>
    <d v="2025-09-16T00:00:00"/>
    <x v="6"/>
    <x v="1"/>
    <x v="0"/>
    <x v="1"/>
    <s v="Wholesale"/>
    <n v="1"/>
    <n v="2355.02"/>
    <n v="5"/>
    <x v="211"/>
  </r>
  <r>
    <n v="10648"/>
    <d v="2025-06-26T00:00:00"/>
    <x v="6"/>
    <x v="1"/>
    <x v="0"/>
    <x v="3"/>
    <s v="Retail"/>
    <n v="1"/>
    <n v="2355.9699999999998"/>
    <n v="5"/>
    <x v="212"/>
  </r>
  <r>
    <n v="10115"/>
    <d v="2025-10-28T00:00:00"/>
    <x v="6"/>
    <x v="1"/>
    <x v="3"/>
    <x v="3"/>
    <s v="Wholesale"/>
    <n v="1"/>
    <n v="2359.4899999999998"/>
    <n v="0"/>
    <x v="213"/>
  </r>
  <r>
    <n v="10210"/>
    <d v="2025-03-09T00:00:00"/>
    <x v="6"/>
    <x v="1"/>
    <x v="0"/>
    <x v="2"/>
    <s v="Retail"/>
    <n v="1"/>
    <n v="2375.1799999999998"/>
    <n v="20"/>
    <x v="214"/>
  </r>
  <r>
    <n v="10608"/>
    <d v="2025-05-10T00:00:00"/>
    <x v="6"/>
    <x v="1"/>
    <x v="1"/>
    <x v="4"/>
    <s v="Retail"/>
    <n v="1"/>
    <n v="2379.7800000000002"/>
    <n v="10"/>
    <x v="215"/>
  </r>
  <r>
    <n v="10058"/>
    <d v="2025-02-25T00:00:00"/>
    <x v="2"/>
    <x v="1"/>
    <x v="0"/>
    <x v="5"/>
    <s v="Online"/>
    <n v="3"/>
    <n v="793.92"/>
    <n v="10"/>
    <x v="216"/>
  </r>
  <r>
    <n v="10201"/>
    <d v="2025-02-22T00:00:00"/>
    <x v="7"/>
    <x v="2"/>
    <x v="2"/>
    <x v="3"/>
    <s v="Retail"/>
    <n v="1"/>
    <n v="2383.83"/>
    <n v="15"/>
    <x v="217"/>
  </r>
  <r>
    <n v="10032"/>
    <d v="2025-05-08T00:00:00"/>
    <x v="7"/>
    <x v="2"/>
    <x v="3"/>
    <x v="0"/>
    <s v="Online"/>
    <n v="1"/>
    <n v="2386.69"/>
    <n v="10"/>
    <x v="218"/>
  </r>
  <r>
    <n v="10632"/>
    <d v="2025-10-31T00:00:00"/>
    <x v="6"/>
    <x v="1"/>
    <x v="1"/>
    <x v="2"/>
    <s v="Online"/>
    <n v="1"/>
    <n v="2388.84"/>
    <n v="0"/>
    <x v="219"/>
  </r>
  <r>
    <n v="10430"/>
    <d v="2025-03-27T00:00:00"/>
    <x v="6"/>
    <x v="1"/>
    <x v="2"/>
    <x v="2"/>
    <s v="Wholesale"/>
    <n v="1"/>
    <n v="2389.64"/>
    <n v="15"/>
    <x v="220"/>
  </r>
  <r>
    <n v="10639"/>
    <d v="2025-01-20T00:00:00"/>
    <x v="6"/>
    <x v="1"/>
    <x v="3"/>
    <x v="4"/>
    <s v="Wholesale"/>
    <n v="1"/>
    <n v="2391.42"/>
    <n v="10"/>
    <x v="221"/>
  </r>
  <r>
    <n v="10041"/>
    <d v="2025-06-11T00:00:00"/>
    <x v="7"/>
    <x v="2"/>
    <x v="3"/>
    <x v="4"/>
    <s v="Wholesale"/>
    <n v="1"/>
    <n v="2392.36"/>
    <n v="0"/>
    <x v="222"/>
  </r>
  <r>
    <n v="10079"/>
    <d v="2025-03-07T00:00:00"/>
    <x v="7"/>
    <x v="2"/>
    <x v="3"/>
    <x v="0"/>
    <s v="Online"/>
    <n v="1"/>
    <n v="2395.0300000000002"/>
    <n v="5"/>
    <x v="223"/>
  </r>
  <r>
    <n v="10466"/>
    <d v="2025-10-05T00:00:00"/>
    <x v="7"/>
    <x v="2"/>
    <x v="2"/>
    <x v="2"/>
    <s v="Wholesale"/>
    <n v="1"/>
    <n v="2396.61"/>
    <n v="0"/>
    <x v="224"/>
  </r>
  <r>
    <n v="10497"/>
    <d v="2025-01-07T00:00:00"/>
    <x v="7"/>
    <x v="2"/>
    <x v="0"/>
    <x v="4"/>
    <s v="Wholesale"/>
    <n v="1"/>
    <n v="2411.09"/>
    <n v="10"/>
    <x v="225"/>
  </r>
  <r>
    <n v="10447"/>
    <d v="2025-06-07T00:00:00"/>
    <x v="7"/>
    <x v="2"/>
    <x v="0"/>
    <x v="5"/>
    <s v="Retail"/>
    <n v="1"/>
    <n v="2413.44"/>
    <n v="15"/>
    <x v="226"/>
  </r>
  <r>
    <n v="10089"/>
    <d v="2025-08-04T00:00:00"/>
    <x v="2"/>
    <x v="1"/>
    <x v="0"/>
    <x v="4"/>
    <s v="Wholesale"/>
    <n v="3"/>
    <n v="809.83"/>
    <n v="20"/>
    <x v="227"/>
  </r>
  <r>
    <n v="10508"/>
    <d v="2025-09-16T00:00:00"/>
    <x v="7"/>
    <x v="2"/>
    <x v="0"/>
    <x v="3"/>
    <s v="Retail"/>
    <n v="1"/>
    <n v="2434.5100000000002"/>
    <n v="5"/>
    <x v="228"/>
  </r>
  <r>
    <n v="10631"/>
    <d v="2025-04-18T00:00:00"/>
    <x v="7"/>
    <x v="2"/>
    <x v="1"/>
    <x v="3"/>
    <s v="Wholesale"/>
    <n v="1"/>
    <n v="2434.94"/>
    <n v="0"/>
    <x v="229"/>
  </r>
  <r>
    <n v="10609"/>
    <d v="2025-11-27T00:00:00"/>
    <x v="7"/>
    <x v="2"/>
    <x v="3"/>
    <x v="5"/>
    <s v="Online"/>
    <n v="1"/>
    <n v="2436.6999999999998"/>
    <n v="0"/>
    <x v="230"/>
  </r>
  <r>
    <n v="10539"/>
    <d v="2025-12-26T00:00:00"/>
    <x v="7"/>
    <x v="2"/>
    <x v="1"/>
    <x v="2"/>
    <s v="Online"/>
    <n v="1"/>
    <n v="2449.3000000000002"/>
    <n v="15"/>
    <x v="231"/>
  </r>
  <r>
    <n v="10534"/>
    <d v="2025-09-24T00:00:00"/>
    <x v="7"/>
    <x v="2"/>
    <x v="2"/>
    <x v="0"/>
    <s v="Online"/>
    <n v="1"/>
    <n v="2459.6999999999998"/>
    <n v="5"/>
    <x v="232"/>
  </r>
  <r>
    <n v="10197"/>
    <d v="2025-11-20T00:00:00"/>
    <x v="7"/>
    <x v="2"/>
    <x v="2"/>
    <x v="5"/>
    <s v="Online"/>
    <n v="1"/>
    <n v="2462"/>
    <n v="0"/>
    <x v="233"/>
  </r>
  <r>
    <n v="10490"/>
    <d v="2025-03-19T00:00:00"/>
    <x v="2"/>
    <x v="1"/>
    <x v="3"/>
    <x v="4"/>
    <s v="Online"/>
    <n v="3"/>
    <n v="823.62"/>
    <n v="5"/>
    <x v="234"/>
  </r>
  <r>
    <n v="10322"/>
    <d v="2025-01-30T00:00:00"/>
    <x v="7"/>
    <x v="2"/>
    <x v="0"/>
    <x v="0"/>
    <s v="Online"/>
    <n v="1"/>
    <n v="2471.12"/>
    <n v="0"/>
    <x v="235"/>
  </r>
  <r>
    <n v="10155"/>
    <d v="2025-03-01T00:00:00"/>
    <x v="7"/>
    <x v="2"/>
    <x v="3"/>
    <x v="2"/>
    <s v="Online"/>
    <n v="1"/>
    <n v="2471.17"/>
    <n v="0"/>
    <x v="236"/>
  </r>
  <r>
    <n v="10492"/>
    <d v="2025-10-21T00:00:00"/>
    <x v="7"/>
    <x v="2"/>
    <x v="1"/>
    <x v="0"/>
    <s v="Wholesale"/>
    <n v="1"/>
    <n v="2472.71"/>
    <n v="20"/>
    <x v="237"/>
  </r>
  <r>
    <n v="10143"/>
    <d v="2025-07-15T00:00:00"/>
    <x v="4"/>
    <x v="2"/>
    <x v="2"/>
    <x v="1"/>
    <s v="Wholesale"/>
    <n v="2"/>
    <n v="1236.9000000000001"/>
    <n v="20"/>
    <x v="238"/>
  </r>
  <r>
    <n v="10132"/>
    <d v="2025-02-21T00:00:00"/>
    <x v="7"/>
    <x v="2"/>
    <x v="0"/>
    <x v="4"/>
    <s v="Online"/>
    <n v="1"/>
    <n v="2476.5"/>
    <n v="15"/>
    <x v="239"/>
  </r>
  <r>
    <n v="10640"/>
    <d v="2025-12-14T00:00:00"/>
    <x v="2"/>
    <x v="1"/>
    <x v="0"/>
    <x v="1"/>
    <s v="Wholesale"/>
    <n v="3"/>
    <n v="828.95"/>
    <n v="15"/>
    <x v="240"/>
  </r>
  <r>
    <n v="10285"/>
    <d v="2025-10-03T00:00:00"/>
    <x v="4"/>
    <x v="2"/>
    <x v="2"/>
    <x v="1"/>
    <s v="Online"/>
    <n v="2"/>
    <n v="1251.8800000000001"/>
    <n v="10"/>
    <x v="241"/>
  </r>
  <r>
    <n v="10302"/>
    <d v="2025-10-03T00:00:00"/>
    <x v="7"/>
    <x v="2"/>
    <x v="1"/>
    <x v="2"/>
    <s v="Online"/>
    <n v="1"/>
    <n v="2505.37"/>
    <n v="10"/>
    <x v="242"/>
  </r>
  <r>
    <n v="10389"/>
    <d v="2025-05-30T00:00:00"/>
    <x v="4"/>
    <x v="2"/>
    <x v="3"/>
    <x v="5"/>
    <s v="Retail"/>
    <n v="2"/>
    <n v="1255.9000000000001"/>
    <n v="5"/>
    <x v="243"/>
  </r>
  <r>
    <n v="10313"/>
    <d v="2025-05-07T00:00:00"/>
    <x v="4"/>
    <x v="2"/>
    <x v="0"/>
    <x v="5"/>
    <s v="Retail"/>
    <n v="2"/>
    <n v="1258.53"/>
    <n v="15"/>
    <x v="244"/>
  </r>
  <r>
    <n v="10482"/>
    <d v="2025-12-27T00:00:00"/>
    <x v="7"/>
    <x v="2"/>
    <x v="3"/>
    <x v="0"/>
    <s v="Online"/>
    <n v="1"/>
    <n v="2525.8200000000002"/>
    <n v="5"/>
    <x v="245"/>
  </r>
  <r>
    <n v="10223"/>
    <d v="2025-02-02T00:00:00"/>
    <x v="7"/>
    <x v="2"/>
    <x v="3"/>
    <x v="0"/>
    <s v="Online"/>
    <n v="1"/>
    <n v="2531.98"/>
    <n v="10"/>
    <x v="246"/>
  </r>
  <r>
    <n v="10153"/>
    <d v="2025-01-13T00:00:00"/>
    <x v="7"/>
    <x v="2"/>
    <x v="2"/>
    <x v="1"/>
    <s v="Retail"/>
    <n v="1"/>
    <n v="2532.84"/>
    <n v="5"/>
    <x v="247"/>
  </r>
  <r>
    <n v="10310"/>
    <d v="2025-07-13T00:00:00"/>
    <x v="7"/>
    <x v="2"/>
    <x v="0"/>
    <x v="4"/>
    <s v="Online"/>
    <n v="1"/>
    <n v="2537.37"/>
    <n v="0"/>
    <x v="248"/>
  </r>
  <r>
    <n v="10043"/>
    <d v="2025-10-06T00:00:00"/>
    <x v="7"/>
    <x v="2"/>
    <x v="2"/>
    <x v="1"/>
    <s v="Online"/>
    <n v="1"/>
    <n v="2540.9499999999998"/>
    <n v="10"/>
    <x v="249"/>
  </r>
  <r>
    <n v="10400"/>
    <d v="2025-09-07T00:00:00"/>
    <x v="7"/>
    <x v="2"/>
    <x v="2"/>
    <x v="1"/>
    <s v="Retail"/>
    <n v="1"/>
    <n v="2556.71"/>
    <n v="5"/>
    <x v="250"/>
  </r>
  <r>
    <n v="10427"/>
    <d v="2025-06-27T00:00:00"/>
    <x v="7"/>
    <x v="2"/>
    <x v="2"/>
    <x v="2"/>
    <s v="Wholesale"/>
    <n v="1"/>
    <n v="2561.42"/>
    <n v="20"/>
    <x v="251"/>
  </r>
  <r>
    <n v="10327"/>
    <d v="2025-07-23T00:00:00"/>
    <x v="4"/>
    <x v="2"/>
    <x v="1"/>
    <x v="1"/>
    <s v="Wholesale"/>
    <n v="2"/>
    <n v="1283.5"/>
    <n v="10"/>
    <x v="252"/>
  </r>
  <r>
    <n v="10635"/>
    <d v="2025-03-29T00:00:00"/>
    <x v="7"/>
    <x v="2"/>
    <x v="1"/>
    <x v="0"/>
    <s v="Online"/>
    <n v="1"/>
    <n v="2572.62"/>
    <n v="20"/>
    <x v="253"/>
  </r>
  <r>
    <n v="10264"/>
    <d v="2025-08-23T00:00:00"/>
    <x v="3"/>
    <x v="2"/>
    <x v="1"/>
    <x v="2"/>
    <s v="Online"/>
    <n v="3"/>
    <n v="858.42"/>
    <n v="0"/>
    <x v="254"/>
  </r>
  <r>
    <n v="10513"/>
    <d v="2025-05-10T00:00:00"/>
    <x v="4"/>
    <x v="2"/>
    <x v="2"/>
    <x v="3"/>
    <s v="Online"/>
    <n v="2"/>
    <n v="1289.0999999999999"/>
    <n v="5"/>
    <x v="255"/>
  </r>
  <r>
    <n v="10521"/>
    <d v="2025-12-10T00:00:00"/>
    <x v="7"/>
    <x v="2"/>
    <x v="2"/>
    <x v="1"/>
    <s v="Wholesale"/>
    <n v="1"/>
    <n v="2584.13"/>
    <n v="10"/>
    <x v="256"/>
  </r>
  <r>
    <n v="10615"/>
    <d v="2025-10-10T00:00:00"/>
    <x v="7"/>
    <x v="2"/>
    <x v="3"/>
    <x v="2"/>
    <s v="Online"/>
    <n v="1"/>
    <n v="2584.41"/>
    <n v="20"/>
    <x v="257"/>
  </r>
  <r>
    <n v="10265"/>
    <d v="2025-11-02T00:00:00"/>
    <x v="7"/>
    <x v="2"/>
    <x v="0"/>
    <x v="5"/>
    <s v="Online"/>
    <n v="1"/>
    <n v="2585.7600000000002"/>
    <n v="5"/>
    <x v="258"/>
  </r>
  <r>
    <n v="10552"/>
    <d v="2025-04-03T00:00:00"/>
    <x v="7"/>
    <x v="2"/>
    <x v="0"/>
    <x v="5"/>
    <s v="Online"/>
    <n v="1"/>
    <n v="2589.61"/>
    <n v="20"/>
    <x v="259"/>
  </r>
  <r>
    <n v="10525"/>
    <d v="2025-01-28T00:00:00"/>
    <x v="7"/>
    <x v="2"/>
    <x v="3"/>
    <x v="6"/>
    <s v="Retail"/>
    <n v="1"/>
    <n v="2590.84"/>
    <n v="5"/>
    <x v="260"/>
  </r>
  <r>
    <n v="10068"/>
    <d v="2025-07-24T00:00:00"/>
    <x v="7"/>
    <x v="2"/>
    <x v="1"/>
    <x v="2"/>
    <s v="Online"/>
    <n v="1"/>
    <n v="2597.13"/>
    <n v="20"/>
    <x v="261"/>
  </r>
  <r>
    <n v="10413"/>
    <d v="2025-06-29T00:00:00"/>
    <x v="7"/>
    <x v="2"/>
    <x v="1"/>
    <x v="3"/>
    <s v="Online"/>
    <n v="1"/>
    <n v="2603.9299999999998"/>
    <n v="10"/>
    <x v="262"/>
  </r>
  <r>
    <n v="10293"/>
    <d v="2025-08-28T00:00:00"/>
    <x v="3"/>
    <x v="2"/>
    <x v="2"/>
    <x v="2"/>
    <s v="Retail"/>
    <n v="3"/>
    <n v="868.66"/>
    <n v="5"/>
    <x v="263"/>
  </r>
  <r>
    <n v="10369"/>
    <d v="2025-11-01T00:00:00"/>
    <x v="3"/>
    <x v="2"/>
    <x v="3"/>
    <x v="4"/>
    <s v="Retail"/>
    <n v="3"/>
    <n v="869"/>
    <n v="10"/>
    <x v="264"/>
  </r>
  <r>
    <n v="10014"/>
    <d v="2025-05-15T00:00:00"/>
    <x v="3"/>
    <x v="2"/>
    <x v="0"/>
    <x v="1"/>
    <s v="Wholesale"/>
    <n v="3"/>
    <n v="873.77"/>
    <n v="0"/>
    <x v="265"/>
  </r>
  <r>
    <n v="10543"/>
    <d v="2025-09-12T00:00:00"/>
    <x v="3"/>
    <x v="2"/>
    <x v="1"/>
    <x v="3"/>
    <s v="Wholesale"/>
    <n v="3"/>
    <n v="875.13"/>
    <n v="0"/>
    <x v="266"/>
  </r>
  <r>
    <n v="10159"/>
    <d v="2025-03-04T00:00:00"/>
    <x v="4"/>
    <x v="2"/>
    <x v="0"/>
    <x v="4"/>
    <s v="Online"/>
    <n v="2"/>
    <n v="1317.41"/>
    <n v="10"/>
    <x v="267"/>
  </r>
  <r>
    <n v="10326"/>
    <d v="2025-04-08T00:00:00"/>
    <x v="4"/>
    <x v="2"/>
    <x v="3"/>
    <x v="3"/>
    <s v="Wholesale"/>
    <n v="2"/>
    <n v="1324.41"/>
    <n v="15"/>
    <x v="268"/>
  </r>
  <r>
    <n v="10281"/>
    <d v="2025-05-23T00:00:00"/>
    <x v="4"/>
    <x v="2"/>
    <x v="2"/>
    <x v="2"/>
    <s v="Wholesale"/>
    <n v="2"/>
    <n v="1325.62"/>
    <n v="15"/>
    <x v="269"/>
  </r>
  <r>
    <n v="10641"/>
    <d v="2025-08-08T00:00:00"/>
    <x v="3"/>
    <x v="2"/>
    <x v="1"/>
    <x v="0"/>
    <s v="Wholesale"/>
    <n v="3"/>
    <n v="907.01"/>
    <n v="15"/>
    <x v="270"/>
  </r>
  <r>
    <n v="10368"/>
    <d v="2025-12-21T00:00:00"/>
    <x v="3"/>
    <x v="2"/>
    <x v="0"/>
    <x v="1"/>
    <s v="Retail"/>
    <n v="3"/>
    <n v="917.13"/>
    <n v="20"/>
    <x v="271"/>
  </r>
  <r>
    <n v="10409"/>
    <d v="2025-12-15T00:00:00"/>
    <x v="3"/>
    <x v="2"/>
    <x v="0"/>
    <x v="4"/>
    <s v="Retail"/>
    <n v="3"/>
    <n v="927.51"/>
    <n v="20"/>
    <x v="272"/>
  </r>
  <r>
    <n v="10614"/>
    <d v="2025-12-14T00:00:00"/>
    <x v="1"/>
    <x v="1"/>
    <x v="2"/>
    <x v="0"/>
    <s v="Wholesale"/>
    <n v="10"/>
    <n v="294.77999999999997"/>
    <n v="0"/>
    <x v="273"/>
  </r>
  <r>
    <n v="10367"/>
    <d v="2025-08-05T00:00:00"/>
    <x v="1"/>
    <x v="1"/>
    <x v="0"/>
    <x v="4"/>
    <s v="Wholesale"/>
    <n v="10"/>
    <n v="301.45999999999998"/>
    <n v="10"/>
    <x v="274"/>
  </r>
  <r>
    <n v="10435"/>
    <d v="2025-04-25T00:00:00"/>
    <x v="1"/>
    <x v="1"/>
    <x v="3"/>
    <x v="0"/>
    <s v="Retail"/>
    <n v="10"/>
    <n v="309.94"/>
    <n v="20"/>
    <x v="275"/>
  </r>
  <r>
    <n v="10556"/>
    <d v="2025-11-25T00:00:00"/>
    <x v="8"/>
    <x v="1"/>
    <x v="0"/>
    <x v="2"/>
    <s v="Online"/>
    <n v="1"/>
    <n v="3328.12"/>
    <n v="0"/>
    <x v="276"/>
  </r>
  <r>
    <n v="10007"/>
    <d v="2025-11-13T00:00:00"/>
    <x v="8"/>
    <x v="1"/>
    <x v="2"/>
    <x v="1"/>
    <s v="Retail"/>
    <n v="1"/>
    <n v="3340.08"/>
    <n v="0"/>
    <x v="277"/>
  </r>
  <r>
    <n v="10596"/>
    <d v="2025-11-19T00:00:00"/>
    <x v="8"/>
    <x v="1"/>
    <x v="1"/>
    <x v="3"/>
    <s v="Wholesale"/>
    <n v="1"/>
    <n v="3395.98"/>
    <n v="20"/>
    <x v="278"/>
  </r>
  <r>
    <n v="10215"/>
    <d v="2025-09-04T00:00:00"/>
    <x v="8"/>
    <x v="1"/>
    <x v="2"/>
    <x v="1"/>
    <s v="Retail"/>
    <n v="1"/>
    <n v="3423.79"/>
    <n v="20"/>
    <x v="279"/>
  </r>
  <r>
    <n v="10283"/>
    <d v="2025-10-06T00:00:00"/>
    <x v="8"/>
    <x v="1"/>
    <x v="0"/>
    <x v="0"/>
    <s v="Wholesale"/>
    <n v="1"/>
    <n v="3425.68"/>
    <n v="0"/>
    <x v="280"/>
  </r>
  <r>
    <n v="10063"/>
    <d v="2025-03-31T00:00:00"/>
    <x v="8"/>
    <x v="1"/>
    <x v="2"/>
    <x v="0"/>
    <s v="Online"/>
    <n v="1"/>
    <n v="3430.38"/>
    <n v="0"/>
    <x v="281"/>
  </r>
  <r>
    <n v="10196"/>
    <d v="2025-11-22T00:00:00"/>
    <x v="8"/>
    <x v="1"/>
    <x v="2"/>
    <x v="3"/>
    <s v="Wholesale"/>
    <n v="1"/>
    <n v="3477.92"/>
    <n v="5"/>
    <x v="282"/>
  </r>
  <r>
    <n v="10199"/>
    <d v="2025-02-16T00:00:00"/>
    <x v="8"/>
    <x v="1"/>
    <x v="0"/>
    <x v="0"/>
    <s v="Online"/>
    <n v="1"/>
    <n v="3481.41"/>
    <n v="20"/>
    <x v="283"/>
  </r>
  <r>
    <n v="10376"/>
    <d v="2025-02-25T00:00:00"/>
    <x v="8"/>
    <x v="1"/>
    <x v="1"/>
    <x v="3"/>
    <s v="Retail"/>
    <n v="1"/>
    <n v="3517.16"/>
    <n v="0"/>
    <x v="284"/>
  </r>
  <r>
    <n v="10040"/>
    <d v="2025-06-10T00:00:00"/>
    <x v="8"/>
    <x v="1"/>
    <x v="1"/>
    <x v="5"/>
    <s v="Wholesale"/>
    <n v="1"/>
    <n v="3559.07"/>
    <n v="0"/>
    <x v="285"/>
  </r>
  <r>
    <n v="10414"/>
    <d v="2025-08-15T00:00:00"/>
    <x v="8"/>
    <x v="1"/>
    <x v="1"/>
    <x v="4"/>
    <s v="Retail"/>
    <n v="1"/>
    <n v="3587.33"/>
    <n v="10"/>
    <x v="286"/>
  </r>
  <r>
    <n v="10334"/>
    <d v="2025-01-31T00:00:00"/>
    <x v="8"/>
    <x v="1"/>
    <x v="3"/>
    <x v="4"/>
    <s v="Online"/>
    <n v="1"/>
    <n v="3591.49"/>
    <n v="5"/>
    <x v="287"/>
  </r>
  <r>
    <n v="10087"/>
    <d v="2025-05-05T00:00:00"/>
    <x v="8"/>
    <x v="1"/>
    <x v="3"/>
    <x v="3"/>
    <s v="Wholesale"/>
    <n v="1"/>
    <n v="3602.65"/>
    <n v="10"/>
    <x v="288"/>
  </r>
  <r>
    <n v="10229"/>
    <d v="2025-03-31T00:00:00"/>
    <x v="8"/>
    <x v="1"/>
    <x v="0"/>
    <x v="3"/>
    <s v="Wholesale"/>
    <n v="1"/>
    <n v="3607.99"/>
    <n v="0"/>
    <x v="289"/>
  </r>
  <r>
    <n v="10593"/>
    <d v="2025-07-17T00:00:00"/>
    <x v="5"/>
    <x v="1"/>
    <x v="2"/>
    <x v="1"/>
    <s v="Online"/>
    <n v="2"/>
    <n v="1808.74"/>
    <n v="10"/>
    <x v="290"/>
  </r>
  <r>
    <n v="10547"/>
    <d v="2025-06-10T00:00:00"/>
    <x v="8"/>
    <x v="1"/>
    <x v="0"/>
    <x v="3"/>
    <s v="Retail"/>
    <n v="1"/>
    <n v="3621.9"/>
    <n v="0"/>
    <x v="291"/>
  </r>
  <r>
    <n v="10156"/>
    <d v="2025-12-23T00:00:00"/>
    <x v="8"/>
    <x v="1"/>
    <x v="0"/>
    <x v="1"/>
    <s v="Online"/>
    <n v="1"/>
    <n v="3633.86"/>
    <n v="15"/>
    <x v="292"/>
  </r>
  <r>
    <n v="10144"/>
    <d v="2025-07-22T00:00:00"/>
    <x v="8"/>
    <x v="1"/>
    <x v="2"/>
    <x v="4"/>
    <s v="Online"/>
    <n v="1"/>
    <n v="3642.67"/>
    <n v="15"/>
    <x v="293"/>
  </r>
  <r>
    <n v="10416"/>
    <d v="2025-05-08T00:00:00"/>
    <x v="5"/>
    <x v="1"/>
    <x v="2"/>
    <x v="3"/>
    <s v="Retail"/>
    <n v="2"/>
    <n v="1843.06"/>
    <n v="10"/>
    <x v="294"/>
  </r>
  <r>
    <n v="10314"/>
    <d v="2025-01-17T00:00:00"/>
    <x v="5"/>
    <x v="1"/>
    <x v="0"/>
    <x v="1"/>
    <s v="Retail"/>
    <n v="2"/>
    <n v="1843.18"/>
    <n v="0"/>
    <x v="295"/>
  </r>
  <r>
    <n v="10383"/>
    <d v="2025-12-11T00:00:00"/>
    <x v="5"/>
    <x v="1"/>
    <x v="1"/>
    <x v="5"/>
    <s v="Retail"/>
    <n v="2"/>
    <n v="1862.04"/>
    <n v="0"/>
    <x v="296"/>
  </r>
  <r>
    <n v="10096"/>
    <d v="2025-05-31T00:00:00"/>
    <x v="5"/>
    <x v="1"/>
    <x v="1"/>
    <x v="0"/>
    <s v="Online"/>
    <n v="2"/>
    <n v="1862.2"/>
    <n v="10"/>
    <x v="297"/>
  </r>
  <r>
    <n v="10468"/>
    <d v="2025-03-08T00:00:00"/>
    <x v="4"/>
    <x v="2"/>
    <x v="2"/>
    <x v="3"/>
    <s v="Retail"/>
    <n v="3"/>
    <n v="1241.79"/>
    <n v="0"/>
    <x v="298"/>
  </r>
  <r>
    <n v="10158"/>
    <d v="2025-07-05T00:00:00"/>
    <x v="4"/>
    <x v="2"/>
    <x v="3"/>
    <x v="3"/>
    <s v="Wholesale"/>
    <n v="3"/>
    <n v="1241.92"/>
    <n v="0"/>
    <x v="299"/>
  </r>
  <r>
    <n v="10110"/>
    <d v="2025-12-18T00:00:00"/>
    <x v="5"/>
    <x v="1"/>
    <x v="1"/>
    <x v="5"/>
    <s v="Online"/>
    <n v="2"/>
    <n v="1884.78"/>
    <n v="10"/>
    <x v="300"/>
  </r>
  <r>
    <n v="10262"/>
    <d v="2025-03-23T00:00:00"/>
    <x v="4"/>
    <x v="2"/>
    <x v="2"/>
    <x v="1"/>
    <s v="Online"/>
    <n v="3"/>
    <n v="1258.71"/>
    <n v="0"/>
    <x v="301"/>
  </r>
  <r>
    <n v="10623"/>
    <d v="2025-09-07T00:00:00"/>
    <x v="4"/>
    <x v="2"/>
    <x v="1"/>
    <x v="4"/>
    <s v="Wholesale"/>
    <n v="3"/>
    <n v="1264.45"/>
    <n v="15"/>
    <x v="302"/>
  </r>
  <r>
    <n v="10317"/>
    <d v="2025-10-22T00:00:00"/>
    <x v="4"/>
    <x v="2"/>
    <x v="2"/>
    <x v="1"/>
    <s v="Online"/>
    <n v="3"/>
    <n v="1264.82"/>
    <n v="0"/>
    <x v="303"/>
  </r>
  <r>
    <n v="10224"/>
    <d v="2025-03-15T00:00:00"/>
    <x v="4"/>
    <x v="2"/>
    <x v="2"/>
    <x v="0"/>
    <s v="Retail"/>
    <n v="3"/>
    <n v="1265.3"/>
    <n v="5"/>
    <x v="304"/>
  </r>
  <r>
    <n v="10232"/>
    <d v="2025-05-27T00:00:00"/>
    <x v="4"/>
    <x v="2"/>
    <x v="2"/>
    <x v="4"/>
    <s v="Online"/>
    <n v="3"/>
    <n v="1269.54"/>
    <n v="20"/>
    <x v="305"/>
  </r>
  <r>
    <n v="10179"/>
    <d v="2025-04-03T00:00:00"/>
    <x v="2"/>
    <x v="1"/>
    <x v="1"/>
    <x v="1"/>
    <s v="Online"/>
    <n v="5"/>
    <n v="764.61"/>
    <n v="15"/>
    <x v="306"/>
  </r>
  <r>
    <n v="10444"/>
    <d v="2025-05-30T00:00:00"/>
    <x v="4"/>
    <x v="2"/>
    <x v="2"/>
    <x v="5"/>
    <s v="Wholesale"/>
    <n v="3"/>
    <n v="1275.3699999999999"/>
    <n v="0"/>
    <x v="307"/>
  </r>
  <r>
    <n v="10221"/>
    <d v="2025-05-12T00:00:00"/>
    <x v="2"/>
    <x v="1"/>
    <x v="1"/>
    <x v="2"/>
    <s v="Online"/>
    <n v="5"/>
    <n v="767.93"/>
    <n v="0"/>
    <x v="308"/>
  </r>
  <r>
    <n v="10538"/>
    <d v="2025-12-20T00:00:00"/>
    <x v="2"/>
    <x v="1"/>
    <x v="3"/>
    <x v="0"/>
    <s v="Wholesale"/>
    <n v="5"/>
    <n v="768.93"/>
    <n v="0"/>
    <x v="309"/>
  </r>
  <r>
    <n v="10105"/>
    <d v="2025-10-13T00:00:00"/>
    <x v="5"/>
    <x v="1"/>
    <x v="0"/>
    <x v="1"/>
    <s v="Online"/>
    <n v="2"/>
    <n v="1951.35"/>
    <n v="5"/>
    <x v="310"/>
  </r>
  <r>
    <n v="10402"/>
    <d v="2025-09-11T00:00:00"/>
    <x v="4"/>
    <x v="2"/>
    <x v="2"/>
    <x v="5"/>
    <s v="Wholesale"/>
    <n v="3"/>
    <n v="1305.1500000000001"/>
    <n v="0"/>
    <x v="311"/>
  </r>
  <r>
    <n v="10311"/>
    <d v="2025-04-02T00:00:00"/>
    <x v="5"/>
    <x v="1"/>
    <x v="0"/>
    <x v="1"/>
    <s v="Retail"/>
    <n v="2"/>
    <n v="1962.58"/>
    <n v="20"/>
    <x v="312"/>
  </r>
  <r>
    <n v="10174"/>
    <d v="2025-10-28T00:00:00"/>
    <x v="2"/>
    <x v="1"/>
    <x v="2"/>
    <x v="3"/>
    <s v="Retail"/>
    <n v="5"/>
    <n v="787.3"/>
    <n v="15"/>
    <x v="313"/>
  </r>
  <r>
    <n v="10309"/>
    <d v="2025-05-27T00:00:00"/>
    <x v="2"/>
    <x v="1"/>
    <x v="0"/>
    <x v="2"/>
    <s v="Retail"/>
    <n v="5"/>
    <n v="788.97"/>
    <n v="5"/>
    <x v="314"/>
  </r>
  <r>
    <n v="10475"/>
    <d v="2025-11-24T00:00:00"/>
    <x v="4"/>
    <x v="2"/>
    <x v="3"/>
    <x v="0"/>
    <s v="Retail"/>
    <n v="3"/>
    <n v="1330.87"/>
    <n v="0"/>
    <x v="315"/>
  </r>
  <r>
    <n v="10461"/>
    <d v="2025-01-16T00:00:00"/>
    <x v="4"/>
    <x v="2"/>
    <x v="2"/>
    <x v="4"/>
    <s v="Wholesale"/>
    <n v="3"/>
    <n v="1333.66"/>
    <n v="0"/>
    <x v="316"/>
  </r>
  <r>
    <n v="10312"/>
    <d v="2025-06-02T00:00:00"/>
    <x v="2"/>
    <x v="1"/>
    <x v="0"/>
    <x v="3"/>
    <s v="Online"/>
    <n v="5"/>
    <n v="801.55"/>
    <n v="20"/>
    <x v="317"/>
  </r>
  <r>
    <n v="10187"/>
    <d v="2025-09-12T00:00:00"/>
    <x v="2"/>
    <x v="1"/>
    <x v="0"/>
    <x v="2"/>
    <s v="Retail"/>
    <n v="5"/>
    <n v="801.6"/>
    <n v="0"/>
    <x v="318"/>
  </r>
  <r>
    <n v="10176"/>
    <d v="2025-03-21T00:00:00"/>
    <x v="4"/>
    <x v="2"/>
    <x v="0"/>
    <x v="2"/>
    <s v="Retail"/>
    <n v="3"/>
    <n v="1343.86"/>
    <n v="0"/>
    <x v="319"/>
  </r>
  <r>
    <n v="10633"/>
    <d v="2025-03-27T00:00:00"/>
    <x v="2"/>
    <x v="1"/>
    <x v="2"/>
    <x v="2"/>
    <s v="Online"/>
    <n v="5"/>
    <n v="806.94"/>
    <n v="10"/>
    <x v="320"/>
  </r>
  <r>
    <n v="10644"/>
    <d v="2025-10-23T00:00:00"/>
    <x v="2"/>
    <x v="1"/>
    <x v="3"/>
    <x v="1"/>
    <s v="Retail"/>
    <n v="5"/>
    <n v="811.35"/>
    <n v="15"/>
    <x v="321"/>
  </r>
  <r>
    <n v="10495"/>
    <d v="2025-11-18T00:00:00"/>
    <x v="4"/>
    <x v="2"/>
    <x v="1"/>
    <x v="1"/>
    <s v="Wholesale"/>
    <n v="3"/>
    <n v="1352.36"/>
    <n v="20"/>
    <x v="322"/>
  </r>
  <r>
    <n v="10432"/>
    <d v="2025-05-06T00:00:00"/>
    <x v="2"/>
    <x v="1"/>
    <x v="3"/>
    <x v="0"/>
    <s v="Wholesale"/>
    <n v="5"/>
    <n v="832.58"/>
    <n v="0"/>
    <x v="323"/>
  </r>
  <r>
    <n v="10086"/>
    <d v="2025-12-13T00:00:00"/>
    <x v="6"/>
    <x v="1"/>
    <x v="0"/>
    <x v="0"/>
    <s v="Online"/>
    <n v="2"/>
    <n v="2201.52"/>
    <n v="15"/>
    <x v="324"/>
  </r>
  <r>
    <n v="10257"/>
    <d v="2025-05-29T00:00:00"/>
    <x v="3"/>
    <x v="2"/>
    <x v="2"/>
    <x v="0"/>
    <s v="Retail"/>
    <n v="5"/>
    <n v="880.79"/>
    <n v="0"/>
    <x v="325"/>
  </r>
  <r>
    <n v="10268"/>
    <d v="2025-05-24T00:00:00"/>
    <x v="3"/>
    <x v="2"/>
    <x v="3"/>
    <x v="2"/>
    <s v="Retail"/>
    <n v="5"/>
    <n v="887.6"/>
    <n v="0"/>
    <x v="326"/>
  </r>
  <r>
    <n v="10511"/>
    <d v="2025-04-20T00:00:00"/>
    <x v="6"/>
    <x v="1"/>
    <x v="1"/>
    <x v="3"/>
    <s v="Retail"/>
    <n v="2"/>
    <n v="2245.91"/>
    <n v="5"/>
    <x v="327"/>
  </r>
  <r>
    <n v="10269"/>
    <d v="2025-07-07T00:00:00"/>
    <x v="3"/>
    <x v="2"/>
    <x v="1"/>
    <x v="2"/>
    <s v="Online"/>
    <n v="5"/>
    <n v="899.01"/>
    <n v="0"/>
    <x v="328"/>
  </r>
  <r>
    <n v="10617"/>
    <d v="2025-11-20T00:00:00"/>
    <x v="3"/>
    <x v="2"/>
    <x v="3"/>
    <x v="1"/>
    <s v="Online"/>
    <n v="5"/>
    <n v="923.2"/>
    <n v="0"/>
    <x v="329"/>
  </r>
  <r>
    <n v="10038"/>
    <d v="2025-02-04T00:00:00"/>
    <x v="6"/>
    <x v="1"/>
    <x v="1"/>
    <x v="0"/>
    <s v="Retail"/>
    <n v="2"/>
    <n v="2317.14"/>
    <n v="0"/>
    <x v="330"/>
  </r>
  <r>
    <n v="10419"/>
    <d v="2025-01-07T00:00:00"/>
    <x v="3"/>
    <x v="2"/>
    <x v="2"/>
    <x v="5"/>
    <s v="Retail"/>
    <n v="5"/>
    <n v="931.44"/>
    <n v="10"/>
    <x v="331"/>
  </r>
  <r>
    <n v="10107"/>
    <d v="2025-02-20T00:00:00"/>
    <x v="6"/>
    <x v="1"/>
    <x v="1"/>
    <x v="3"/>
    <s v="Retail"/>
    <n v="2"/>
    <n v="2335.88"/>
    <n v="0"/>
    <x v="332"/>
  </r>
  <r>
    <n v="10061"/>
    <d v="2025-06-10T00:00:00"/>
    <x v="6"/>
    <x v="1"/>
    <x v="3"/>
    <x v="3"/>
    <s v="Wholesale"/>
    <n v="2"/>
    <n v="2337.37"/>
    <n v="0"/>
    <x v="333"/>
  </r>
  <r>
    <n v="10023"/>
    <d v="2025-03-26T00:00:00"/>
    <x v="3"/>
    <x v="2"/>
    <x v="2"/>
    <x v="1"/>
    <s v="Online"/>
    <n v="5"/>
    <n v="940.75"/>
    <n v="10"/>
    <x v="334"/>
  </r>
  <r>
    <n v="10390"/>
    <d v="2025-09-11T00:00:00"/>
    <x v="6"/>
    <x v="1"/>
    <x v="3"/>
    <x v="1"/>
    <s v="Retail"/>
    <n v="2"/>
    <n v="2362.25"/>
    <n v="20"/>
    <x v="335"/>
  </r>
  <r>
    <n v="10498"/>
    <d v="2025-02-21T00:00:00"/>
    <x v="6"/>
    <x v="1"/>
    <x v="3"/>
    <x v="1"/>
    <s v="Retail"/>
    <n v="2"/>
    <n v="2383.48"/>
    <n v="0"/>
    <x v="336"/>
  </r>
  <r>
    <n v="10104"/>
    <d v="2025-02-07T00:00:00"/>
    <x v="7"/>
    <x v="2"/>
    <x v="3"/>
    <x v="2"/>
    <s v="Retail"/>
    <n v="2"/>
    <n v="2395.34"/>
    <n v="0"/>
    <x v="337"/>
  </r>
  <r>
    <n v="10135"/>
    <d v="2025-02-05T00:00:00"/>
    <x v="6"/>
    <x v="1"/>
    <x v="1"/>
    <x v="3"/>
    <s v="Online"/>
    <n v="2"/>
    <n v="2413.36"/>
    <n v="15"/>
    <x v="338"/>
  </r>
  <r>
    <n v="10091"/>
    <d v="2025-08-27T00:00:00"/>
    <x v="7"/>
    <x v="2"/>
    <x v="0"/>
    <x v="3"/>
    <s v="Online"/>
    <n v="2"/>
    <n v="2454.59"/>
    <n v="0"/>
    <x v="339"/>
  </r>
  <r>
    <n v="10202"/>
    <d v="2025-08-13T00:00:00"/>
    <x v="7"/>
    <x v="2"/>
    <x v="1"/>
    <x v="5"/>
    <s v="Wholesale"/>
    <n v="2"/>
    <n v="2470.87"/>
    <n v="20"/>
    <x v="340"/>
  </r>
  <r>
    <n v="10212"/>
    <d v="2025-11-09T00:00:00"/>
    <x v="7"/>
    <x v="2"/>
    <x v="2"/>
    <x v="3"/>
    <s v="Wholesale"/>
    <n v="2"/>
    <n v="2507.5"/>
    <n v="0"/>
    <x v="341"/>
  </r>
  <r>
    <n v="10291"/>
    <d v="2025-04-06T00:00:00"/>
    <x v="7"/>
    <x v="2"/>
    <x v="2"/>
    <x v="4"/>
    <s v="Retail"/>
    <n v="2"/>
    <n v="2515.98"/>
    <n v="0"/>
    <x v="342"/>
  </r>
  <r>
    <n v="10106"/>
    <d v="2025-08-15T00:00:00"/>
    <x v="7"/>
    <x v="2"/>
    <x v="2"/>
    <x v="1"/>
    <s v="Wholesale"/>
    <n v="2"/>
    <n v="2516.15"/>
    <n v="0"/>
    <x v="343"/>
  </r>
  <r>
    <n v="10280"/>
    <d v="2025-09-30T00:00:00"/>
    <x v="7"/>
    <x v="2"/>
    <x v="2"/>
    <x v="1"/>
    <s v="Wholesale"/>
    <n v="2"/>
    <n v="2526.5100000000002"/>
    <n v="0"/>
    <x v="344"/>
  </r>
  <r>
    <n v="10090"/>
    <d v="2025-12-29T00:00:00"/>
    <x v="7"/>
    <x v="2"/>
    <x v="1"/>
    <x v="0"/>
    <s v="Retail"/>
    <n v="2"/>
    <n v="2527.9699999999998"/>
    <n v="10"/>
    <x v="345"/>
  </r>
  <r>
    <n v="10145"/>
    <d v="2025-05-27T00:00:00"/>
    <x v="7"/>
    <x v="2"/>
    <x v="1"/>
    <x v="1"/>
    <s v="Wholesale"/>
    <n v="2"/>
    <n v="2533.14"/>
    <n v="10"/>
    <x v="346"/>
  </r>
  <r>
    <n v="10340"/>
    <d v="2025-10-17T00:00:00"/>
    <x v="7"/>
    <x v="2"/>
    <x v="1"/>
    <x v="3"/>
    <s v="Retail"/>
    <n v="2"/>
    <n v="2544.9899999999998"/>
    <n v="20"/>
    <x v="347"/>
  </r>
  <r>
    <n v="10399"/>
    <d v="2025-02-08T00:00:00"/>
    <x v="7"/>
    <x v="2"/>
    <x v="3"/>
    <x v="0"/>
    <s v="Online"/>
    <n v="2"/>
    <n v="2547.66"/>
    <n v="0"/>
    <x v="348"/>
  </r>
  <r>
    <n v="10109"/>
    <d v="2025-05-30T00:00:00"/>
    <x v="7"/>
    <x v="2"/>
    <x v="3"/>
    <x v="2"/>
    <s v="Wholesale"/>
    <n v="2"/>
    <n v="2549.73"/>
    <n v="5"/>
    <x v="349"/>
  </r>
  <r>
    <n v="10067"/>
    <d v="2025-11-09T00:00:00"/>
    <x v="7"/>
    <x v="2"/>
    <x v="3"/>
    <x v="0"/>
    <s v="Wholesale"/>
    <n v="2"/>
    <n v="2553.56"/>
    <n v="5"/>
    <x v="350"/>
  </r>
  <r>
    <n v="10234"/>
    <d v="2025-12-21T00:00:00"/>
    <x v="7"/>
    <x v="2"/>
    <x v="0"/>
    <x v="5"/>
    <s v="Online"/>
    <n v="2"/>
    <n v="2574.2600000000002"/>
    <n v="15"/>
    <x v="351"/>
  </r>
  <r>
    <n v="10054"/>
    <d v="2025-04-24T00:00:00"/>
    <x v="7"/>
    <x v="2"/>
    <x v="1"/>
    <x v="0"/>
    <s v="Wholesale"/>
    <n v="2"/>
    <n v="2579.1"/>
    <n v="20"/>
    <x v="352"/>
  </r>
  <r>
    <n v="10157"/>
    <d v="2025-09-08T00:00:00"/>
    <x v="5"/>
    <x v="1"/>
    <x v="0"/>
    <x v="5"/>
    <s v="Retail"/>
    <n v="3"/>
    <n v="1845.31"/>
    <n v="5"/>
    <x v="353"/>
  </r>
  <r>
    <n v="10423"/>
    <d v="2025-09-19T00:00:00"/>
    <x v="5"/>
    <x v="1"/>
    <x v="1"/>
    <x v="2"/>
    <s v="Online"/>
    <n v="3"/>
    <n v="1878.25"/>
    <n v="15"/>
    <x v="354"/>
  </r>
  <r>
    <n v="10373"/>
    <d v="2025-03-01T00:00:00"/>
    <x v="5"/>
    <x v="1"/>
    <x v="1"/>
    <x v="5"/>
    <s v="Wholesale"/>
    <n v="3"/>
    <n v="1890.52"/>
    <n v="0"/>
    <x v="355"/>
  </r>
  <r>
    <n v="10597"/>
    <d v="2025-08-11T00:00:00"/>
    <x v="9"/>
    <x v="3"/>
    <x v="3"/>
    <x v="3"/>
    <s v="Online"/>
    <n v="1"/>
    <n v="5713.3"/>
    <n v="15"/>
    <x v="356"/>
  </r>
  <r>
    <n v="10228"/>
    <d v="2025-10-25T00:00:00"/>
    <x v="5"/>
    <x v="1"/>
    <x v="2"/>
    <x v="2"/>
    <s v="Retail"/>
    <n v="3"/>
    <n v="1907.74"/>
    <n v="20"/>
    <x v="357"/>
  </r>
  <r>
    <n v="10431"/>
    <d v="2025-03-01T00:00:00"/>
    <x v="9"/>
    <x v="3"/>
    <x v="1"/>
    <x v="6"/>
    <s v="Online"/>
    <n v="1"/>
    <n v="5725.47"/>
    <n v="20"/>
    <x v="358"/>
  </r>
  <r>
    <n v="10049"/>
    <d v="2025-12-20T00:00:00"/>
    <x v="5"/>
    <x v="1"/>
    <x v="1"/>
    <x v="1"/>
    <s v="Retail"/>
    <n v="3"/>
    <n v="1914.67"/>
    <n v="0"/>
    <x v="359"/>
  </r>
  <r>
    <n v="10605"/>
    <d v="2025-11-28T00:00:00"/>
    <x v="9"/>
    <x v="3"/>
    <x v="2"/>
    <x v="4"/>
    <s v="Online"/>
    <n v="1"/>
    <n v="5772.98"/>
    <n v="0"/>
    <x v="360"/>
  </r>
  <r>
    <n v="10249"/>
    <d v="2025-09-03T00:00:00"/>
    <x v="9"/>
    <x v="3"/>
    <x v="0"/>
    <x v="0"/>
    <s v="Online"/>
    <n v="1"/>
    <n v="5774.23"/>
    <n v="0"/>
    <x v="361"/>
  </r>
  <r>
    <n v="10408"/>
    <d v="2025-02-18T00:00:00"/>
    <x v="9"/>
    <x v="3"/>
    <x v="3"/>
    <x v="2"/>
    <s v="Wholesale"/>
    <n v="1"/>
    <n v="5778.66"/>
    <n v="0"/>
    <x v="362"/>
  </r>
  <r>
    <n v="10406"/>
    <d v="2025-12-02T00:00:00"/>
    <x v="5"/>
    <x v="1"/>
    <x v="2"/>
    <x v="5"/>
    <s v="Retail"/>
    <n v="3"/>
    <n v="1930.24"/>
    <n v="15"/>
    <x v="363"/>
  </r>
  <r>
    <n v="10117"/>
    <d v="2025-08-29T00:00:00"/>
    <x v="5"/>
    <x v="1"/>
    <x v="2"/>
    <x v="0"/>
    <s v="Wholesale"/>
    <n v="3"/>
    <n v="1931.31"/>
    <n v="20"/>
    <x v="364"/>
  </r>
  <r>
    <n v="10607"/>
    <d v="2025-06-26T00:00:00"/>
    <x v="9"/>
    <x v="3"/>
    <x v="1"/>
    <x v="0"/>
    <s v="Online"/>
    <n v="1"/>
    <n v="5795.61"/>
    <n v="0"/>
    <x v="365"/>
  </r>
  <r>
    <n v="10094"/>
    <d v="2025-05-22T00:00:00"/>
    <x v="9"/>
    <x v="3"/>
    <x v="3"/>
    <x v="1"/>
    <s v="Retail"/>
    <n v="1"/>
    <n v="5843.84"/>
    <n v="5"/>
    <x v="366"/>
  </r>
  <r>
    <n v="10415"/>
    <d v="2025-07-16T00:00:00"/>
    <x v="9"/>
    <x v="3"/>
    <x v="2"/>
    <x v="0"/>
    <s v="Wholesale"/>
    <n v="1"/>
    <n v="5847.7"/>
    <n v="15"/>
    <x v="367"/>
  </r>
  <r>
    <n v="10219"/>
    <d v="2025-11-29T00:00:00"/>
    <x v="9"/>
    <x v="3"/>
    <x v="2"/>
    <x v="2"/>
    <s v="Retail"/>
    <n v="1"/>
    <n v="5871.15"/>
    <n v="20"/>
    <x v="368"/>
  </r>
  <r>
    <n v="10173"/>
    <d v="2025-02-17T00:00:00"/>
    <x v="5"/>
    <x v="1"/>
    <x v="0"/>
    <x v="4"/>
    <s v="Online"/>
    <n v="3"/>
    <n v="1958.2"/>
    <n v="10"/>
    <x v="369"/>
  </r>
  <r>
    <n v="10564"/>
    <d v="2025-12-04T00:00:00"/>
    <x v="5"/>
    <x v="1"/>
    <x v="1"/>
    <x v="4"/>
    <s v="Wholesale"/>
    <n v="3"/>
    <n v="1961.64"/>
    <n v="20"/>
    <x v="370"/>
  </r>
  <r>
    <n v="10496"/>
    <d v="2025-02-14T00:00:00"/>
    <x v="5"/>
    <x v="1"/>
    <x v="0"/>
    <x v="1"/>
    <s v="Wholesale"/>
    <n v="3"/>
    <n v="1966.72"/>
    <n v="10"/>
    <x v="371"/>
  </r>
  <r>
    <n v="10393"/>
    <d v="2025-08-13T00:00:00"/>
    <x v="5"/>
    <x v="1"/>
    <x v="3"/>
    <x v="2"/>
    <s v="Retail"/>
    <n v="3"/>
    <n v="1967.56"/>
    <n v="10"/>
    <x v="372"/>
  </r>
  <r>
    <n v="10472"/>
    <d v="2025-11-11T00:00:00"/>
    <x v="9"/>
    <x v="3"/>
    <x v="2"/>
    <x v="2"/>
    <s v="Online"/>
    <n v="1"/>
    <n v="5926.04"/>
    <n v="15"/>
    <x v="373"/>
  </r>
  <r>
    <n v="10549"/>
    <d v="2025-02-17T00:00:00"/>
    <x v="9"/>
    <x v="3"/>
    <x v="2"/>
    <x v="5"/>
    <s v="Retail"/>
    <n v="1"/>
    <n v="5939.48"/>
    <n v="5"/>
    <x v="374"/>
  </r>
  <r>
    <n v="10070"/>
    <d v="2025-08-22T00:00:00"/>
    <x v="5"/>
    <x v="1"/>
    <x v="1"/>
    <x v="0"/>
    <s v="Online"/>
    <n v="3"/>
    <n v="1984.46"/>
    <n v="5"/>
    <x v="375"/>
  </r>
  <r>
    <n v="10630"/>
    <d v="2025-03-02T00:00:00"/>
    <x v="9"/>
    <x v="3"/>
    <x v="1"/>
    <x v="0"/>
    <s v="Wholesale"/>
    <n v="1"/>
    <n v="5987.91"/>
    <n v="5"/>
    <x v="376"/>
  </r>
  <r>
    <n v="10192"/>
    <d v="2025-06-23T00:00:00"/>
    <x v="9"/>
    <x v="3"/>
    <x v="1"/>
    <x v="5"/>
    <s v="Retail"/>
    <n v="1"/>
    <n v="6005.29"/>
    <n v="0"/>
    <x v="377"/>
  </r>
  <r>
    <n v="10465"/>
    <d v="2025-12-25T00:00:00"/>
    <x v="9"/>
    <x v="3"/>
    <x v="2"/>
    <x v="6"/>
    <s v="Online"/>
    <n v="1"/>
    <n v="6036.86"/>
    <n v="0"/>
    <x v="378"/>
  </r>
  <r>
    <n v="10610"/>
    <d v="2025-10-25T00:00:00"/>
    <x v="9"/>
    <x v="3"/>
    <x v="0"/>
    <x v="5"/>
    <s v="Wholesale"/>
    <n v="1"/>
    <n v="6101.76"/>
    <n v="0"/>
    <x v="379"/>
  </r>
  <r>
    <n v="10344"/>
    <d v="2025-10-18T00:00:00"/>
    <x v="9"/>
    <x v="3"/>
    <x v="0"/>
    <x v="5"/>
    <s v="Retail"/>
    <n v="1"/>
    <n v="6109.64"/>
    <n v="0"/>
    <x v="380"/>
  </r>
  <r>
    <n v="10601"/>
    <d v="2025-11-13T00:00:00"/>
    <x v="9"/>
    <x v="3"/>
    <x v="3"/>
    <x v="3"/>
    <s v="Online"/>
    <n v="1"/>
    <n v="6119.51"/>
    <n v="0"/>
    <x v="381"/>
  </r>
  <r>
    <n v="10586"/>
    <d v="2025-03-21T00:00:00"/>
    <x v="9"/>
    <x v="3"/>
    <x v="3"/>
    <x v="2"/>
    <s v="Wholesale"/>
    <n v="1"/>
    <n v="6163.17"/>
    <n v="15"/>
    <x v="382"/>
  </r>
  <r>
    <n v="10230"/>
    <d v="2025-08-23T00:00:00"/>
    <x v="9"/>
    <x v="3"/>
    <x v="3"/>
    <x v="5"/>
    <s v="Retail"/>
    <n v="1"/>
    <n v="6173.64"/>
    <n v="0"/>
    <x v="383"/>
  </r>
  <r>
    <n v="10438"/>
    <d v="2025-10-07T00:00:00"/>
    <x v="4"/>
    <x v="2"/>
    <x v="1"/>
    <x v="2"/>
    <s v="Retail"/>
    <n v="5"/>
    <n v="1237.1600000000001"/>
    <n v="10"/>
    <x v="384"/>
  </r>
  <r>
    <n v="10303"/>
    <d v="2025-07-05T00:00:00"/>
    <x v="9"/>
    <x v="3"/>
    <x v="3"/>
    <x v="1"/>
    <s v="Retail"/>
    <n v="1"/>
    <n v="6196.23"/>
    <n v="10"/>
    <x v="385"/>
  </r>
  <r>
    <n v="10339"/>
    <d v="2025-11-14T00:00:00"/>
    <x v="4"/>
    <x v="2"/>
    <x v="2"/>
    <x v="5"/>
    <s v="Wholesale"/>
    <n v="5"/>
    <n v="1244.31"/>
    <n v="5"/>
    <x v="386"/>
  </r>
  <r>
    <n v="10448"/>
    <d v="2025-12-27T00:00:00"/>
    <x v="10"/>
    <x v="3"/>
    <x v="3"/>
    <x v="2"/>
    <s v="Wholesale"/>
    <n v="1"/>
    <n v="6233.33"/>
    <n v="0"/>
    <x v="387"/>
  </r>
  <r>
    <n v="10550"/>
    <d v="2025-07-17T00:00:00"/>
    <x v="10"/>
    <x v="3"/>
    <x v="0"/>
    <x v="0"/>
    <s v="Online"/>
    <n v="1"/>
    <n v="6247.53"/>
    <n v="15"/>
    <x v="388"/>
  </r>
  <r>
    <n v="10396"/>
    <d v="2025-05-29T00:00:00"/>
    <x v="10"/>
    <x v="3"/>
    <x v="2"/>
    <x v="1"/>
    <s v="Online"/>
    <n v="1"/>
    <n v="6262.17"/>
    <n v="20"/>
    <x v="389"/>
  </r>
  <r>
    <n v="10154"/>
    <d v="2025-06-04T00:00:00"/>
    <x v="9"/>
    <x v="3"/>
    <x v="0"/>
    <x v="4"/>
    <s v="Retail"/>
    <n v="1"/>
    <n v="6266.71"/>
    <n v="0"/>
    <x v="390"/>
  </r>
  <r>
    <n v="10473"/>
    <d v="2025-05-31T00:00:00"/>
    <x v="9"/>
    <x v="3"/>
    <x v="1"/>
    <x v="2"/>
    <s v="Online"/>
    <n v="1"/>
    <n v="6268.23"/>
    <n v="10"/>
    <x v="391"/>
  </r>
  <r>
    <n v="10493"/>
    <d v="2025-01-18T00:00:00"/>
    <x v="9"/>
    <x v="3"/>
    <x v="1"/>
    <x v="4"/>
    <s v="Wholesale"/>
    <n v="1"/>
    <n v="6268.39"/>
    <n v="0"/>
    <x v="392"/>
  </r>
  <r>
    <n v="10319"/>
    <d v="2025-03-31T00:00:00"/>
    <x v="9"/>
    <x v="3"/>
    <x v="0"/>
    <x v="1"/>
    <s v="Wholesale"/>
    <n v="1"/>
    <n v="6282.33"/>
    <n v="15"/>
    <x v="393"/>
  </r>
  <r>
    <n v="10194"/>
    <d v="2025-04-12T00:00:00"/>
    <x v="10"/>
    <x v="3"/>
    <x v="1"/>
    <x v="1"/>
    <s v="Retail"/>
    <n v="1"/>
    <n v="6289.18"/>
    <n v="20"/>
    <x v="394"/>
  </r>
  <r>
    <n v="10486"/>
    <d v="2025-12-05T00:00:00"/>
    <x v="10"/>
    <x v="3"/>
    <x v="0"/>
    <x v="2"/>
    <s v="Retail"/>
    <n v="1"/>
    <n v="6308.55"/>
    <n v="15"/>
    <x v="395"/>
  </r>
  <r>
    <n v="10003"/>
    <d v="2025-09-16T00:00:00"/>
    <x v="4"/>
    <x v="2"/>
    <x v="3"/>
    <x v="1"/>
    <s v="Retail"/>
    <n v="5"/>
    <n v="1262.69"/>
    <n v="10"/>
    <x v="396"/>
  </r>
  <r>
    <n v="10011"/>
    <d v="2025-11-24T00:00:00"/>
    <x v="10"/>
    <x v="3"/>
    <x v="1"/>
    <x v="3"/>
    <s v="Wholesale"/>
    <n v="1"/>
    <n v="6322.91"/>
    <n v="0"/>
    <x v="397"/>
  </r>
  <r>
    <n v="10330"/>
    <d v="2025-03-16T00:00:00"/>
    <x v="4"/>
    <x v="2"/>
    <x v="3"/>
    <x v="5"/>
    <s v="Online"/>
    <n v="5"/>
    <n v="1272.4000000000001"/>
    <n v="0"/>
    <x v="398"/>
  </r>
  <r>
    <n v="10542"/>
    <d v="2025-05-15T00:00:00"/>
    <x v="4"/>
    <x v="2"/>
    <x v="1"/>
    <x v="5"/>
    <s v="Online"/>
    <n v="5"/>
    <n v="1272.42"/>
    <n v="0"/>
    <x v="399"/>
  </r>
  <r>
    <n v="10279"/>
    <d v="2025-10-15T00:00:00"/>
    <x v="4"/>
    <x v="2"/>
    <x v="2"/>
    <x v="3"/>
    <s v="Wholesale"/>
    <n v="5"/>
    <n v="1274.81"/>
    <n v="0"/>
    <x v="400"/>
  </r>
  <r>
    <n v="10146"/>
    <d v="2025-12-14T00:00:00"/>
    <x v="10"/>
    <x v="3"/>
    <x v="1"/>
    <x v="3"/>
    <s v="Retail"/>
    <n v="1"/>
    <n v="6374.83"/>
    <n v="5"/>
    <x v="401"/>
  </r>
  <r>
    <n v="10055"/>
    <d v="2025-04-25T00:00:00"/>
    <x v="4"/>
    <x v="2"/>
    <x v="3"/>
    <x v="3"/>
    <s v="Retail"/>
    <n v="5"/>
    <n v="1276.69"/>
    <n v="20"/>
    <x v="402"/>
  </r>
  <r>
    <n v="10436"/>
    <d v="2025-06-17T00:00:00"/>
    <x v="10"/>
    <x v="3"/>
    <x v="3"/>
    <x v="1"/>
    <s v="Wholesale"/>
    <n v="1"/>
    <n v="6413.81"/>
    <n v="0"/>
    <x v="403"/>
  </r>
  <r>
    <n v="10108"/>
    <d v="2025-03-30T00:00:00"/>
    <x v="4"/>
    <x v="2"/>
    <x v="3"/>
    <x v="2"/>
    <s v="Retail"/>
    <n v="5"/>
    <n v="1292.57"/>
    <n v="10"/>
    <x v="404"/>
  </r>
  <r>
    <n v="10371"/>
    <d v="2025-09-19T00:00:00"/>
    <x v="4"/>
    <x v="2"/>
    <x v="1"/>
    <x v="0"/>
    <s v="Wholesale"/>
    <n v="5"/>
    <n v="1294.2"/>
    <n v="15"/>
    <x v="405"/>
  </r>
  <r>
    <n v="10242"/>
    <d v="2025-05-08T00:00:00"/>
    <x v="10"/>
    <x v="3"/>
    <x v="3"/>
    <x v="4"/>
    <s v="Online"/>
    <n v="1"/>
    <n v="6498.38"/>
    <n v="5"/>
    <x v="406"/>
  </r>
  <r>
    <n v="10101"/>
    <d v="2025-01-08T00:00:00"/>
    <x v="10"/>
    <x v="3"/>
    <x v="1"/>
    <x v="5"/>
    <s v="Retail"/>
    <n v="1"/>
    <n v="6533.68"/>
    <n v="15"/>
    <x v="407"/>
  </r>
  <r>
    <n v="10222"/>
    <d v="2025-06-04T00:00:00"/>
    <x v="4"/>
    <x v="2"/>
    <x v="3"/>
    <x v="6"/>
    <s v="Retail"/>
    <n v="5"/>
    <n v="1317.05"/>
    <n v="10"/>
    <x v="408"/>
  </r>
  <r>
    <n v="10289"/>
    <d v="2025-06-14T00:00:00"/>
    <x v="10"/>
    <x v="3"/>
    <x v="2"/>
    <x v="3"/>
    <s v="Retail"/>
    <n v="1"/>
    <n v="6597.98"/>
    <n v="0"/>
    <x v="409"/>
  </r>
  <r>
    <n v="10537"/>
    <d v="2025-10-01T00:00:00"/>
    <x v="10"/>
    <x v="3"/>
    <x v="3"/>
    <x v="1"/>
    <s v="Retail"/>
    <n v="1"/>
    <n v="6598.8"/>
    <n v="0"/>
    <x v="410"/>
  </r>
  <r>
    <n v="10587"/>
    <d v="2025-12-05T00:00:00"/>
    <x v="6"/>
    <x v="1"/>
    <x v="2"/>
    <x v="0"/>
    <s v="Online"/>
    <n v="3"/>
    <n v="2200.81"/>
    <n v="15"/>
    <x v="411"/>
  </r>
  <r>
    <n v="10352"/>
    <d v="2025-03-20T00:00:00"/>
    <x v="10"/>
    <x v="3"/>
    <x v="0"/>
    <x v="3"/>
    <s v="Online"/>
    <n v="1"/>
    <n v="6654.75"/>
    <n v="0"/>
    <x v="412"/>
  </r>
  <r>
    <n v="10318"/>
    <d v="2025-09-24T00:00:00"/>
    <x v="8"/>
    <x v="1"/>
    <x v="1"/>
    <x v="0"/>
    <s v="Wholesale"/>
    <n v="2"/>
    <n v="3345.38"/>
    <n v="10"/>
    <x v="413"/>
  </r>
  <r>
    <n v="10546"/>
    <d v="2025-08-26T00:00:00"/>
    <x v="10"/>
    <x v="3"/>
    <x v="3"/>
    <x v="4"/>
    <s v="Retail"/>
    <n v="1"/>
    <n v="6727.93"/>
    <n v="0"/>
    <x v="414"/>
  </r>
  <r>
    <n v="10244"/>
    <d v="2025-12-22T00:00:00"/>
    <x v="10"/>
    <x v="3"/>
    <x v="0"/>
    <x v="2"/>
    <s v="Retail"/>
    <n v="1"/>
    <n v="6728.3"/>
    <n v="5"/>
    <x v="415"/>
  </r>
  <r>
    <n v="10261"/>
    <d v="2025-03-14T00:00:00"/>
    <x v="4"/>
    <x v="2"/>
    <x v="3"/>
    <x v="4"/>
    <s v="Wholesale"/>
    <n v="5"/>
    <n v="1346.3"/>
    <n v="5"/>
    <x v="416"/>
  </r>
  <r>
    <n v="10386"/>
    <d v="2025-03-13T00:00:00"/>
    <x v="10"/>
    <x v="3"/>
    <x v="1"/>
    <x v="5"/>
    <s v="Wholesale"/>
    <n v="1"/>
    <n v="6736.55"/>
    <n v="0"/>
    <x v="417"/>
  </r>
  <r>
    <n v="10532"/>
    <d v="2025-05-08T00:00:00"/>
    <x v="8"/>
    <x v="1"/>
    <x v="1"/>
    <x v="3"/>
    <s v="Wholesale"/>
    <n v="2"/>
    <n v="3369.16"/>
    <n v="5"/>
    <x v="418"/>
  </r>
  <r>
    <n v="10044"/>
    <d v="2025-12-06T00:00:00"/>
    <x v="10"/>
    <x v="3"/>
    <x v="3"/>
    <x v="2"/>
    <s v="Wholesale"/>
    <n v="1"/>
    <n v="6752.27"/>
    <n v="15"/>
    <x v="419"/>
  </r>
  <r>
    <n v="10565"/>
    <d v="2025-10-08T00:00:00"/>
    <x v="10"/>
    <x v="3"/>
    <x v="2"/>
    <x v="3"/>
    <s v="Retail"/>
    <n v="1"/>
    <n v="6756.93"/>
    <n v="5"/>
    <x v="420"/>
  </r>
  <r>
    <n v="10325"/>
    <d v="2025-12-10T00:00:00"/>
    <x v="6"/>
    <x v="1"/>
    <x v="1"/>
    <x v="0"/>
    <s v="Retail"/>
    <n v="3"/>
    <n v="2253.75"/>
    <n v="0"/>
    <x v="421"/>
  </r>
  <r>
    <n v="10010"/>
    <d v="2025-02-06T00:00:00"/>
    <x v="8"/>
    <x v="1"/>
    <x v="1"/>
    <x v="1"/>
    <s v="Online"/>
    <n v="2"/>
    <n v="3381.22"/>
    <n v="5"/>
    <x v="422"/>
  </r>
  <r>
    <n v="10517"/>
    <d v="2025-06-16T00:00:00"/>
    <x v="8"/>
    <x v="1"/>
    <x v="2"/>
    <x v="5"/>
    <s v="Online"/>
    <n v="2"/>
    <n v="3389.96"/>
    <n v="10"/>
    <x v="423"/>
  </r>
  <r>
    <n v="10509"/>
    <d v="2025-08-17T00:00:00"/>
    <x v="6"/>
    <x v="1"/>
    <x v="1"/>
    <x v="0"/>
    <s v="Online"/>
    <n v="3"/>
    <n v="2263.19"/>
    <n v="20"/>
    <x v="424"/>
  </r>
  <r>
    <n v="10343"/>
    <d v="2025-06-19T00:00:00"/>
    <x v="8"/>
    <x v="1"/>
    <x v="3"/>
    <x v="1"/>
    <s v="Retail"/>
    <n v="2"/>
    <n v="3398.02"/>
    <n v="20"/>
    <x v="425"/>
  </r>
  <r>
    <n v="10001"/>
    <d v="2025-02-27T00:00:00"/>
    <x v="8"/>
    <x v="1"/>
    <x v="3"/>
    <x v="3"/>
    <s v="Wholesale"/>
    <n v="2"/>
    <n v="3402.15"/>
    <n v="15"/>
    <x v="426"/>
  </r>
  <r>
    <n v="10502"/>
    <d v="2025-05-24T00:00:00"/>
    <x v="10"/>
    <x v="3"/>
    <x v="0"/>
    <x v="3"/>
    <s v="Online"/>
    <n v="1"/>
    <n v="6806.08"/>
    <n v="0"/>
    <x v="427"/>
  </r>
  <r>
    <n v="10592"/>
    <d v="2025-11-15T00:00:00"/>
    <x v="6"/>
    <x v="1"/>
    <x v="1"/>
    <x v="4"/>
    <s v="Online"/>
    <n v="3"/>
    <n v="2271.73"/>
    <n v="20"/>
    <x v="428"/>
  </r>
  <r>
    <n v="10180"/>
    <d v="2025-01-16T00:00:00"/>
    <x v="8"/>
    <x v="1"/>
    <x v="3"/>
    <x v="3"/>
    <s v="Online"/>
    <n v="2"/>
    <n v="3455.68"/>
    <n v="5"/>
    <x v="429"/>
  </r>
  <r>
    <n v="10515"/>
    <d v="2025-07-23T00:00:00"/>
    <x v="6"/>
    <x v="1"/>
    <x v="3"/>
    <x v="4"/>
    <s v="Online"/>
    <n v="3"/>
    <n v="2313.13"/>
    <n v="10"/>
    <x v="430"/>
  </r>
  <r>
    <n v="10211"/>
    <d v="2025-03-26T00:00:00"/>
    <x v="6"/>
    <x v="1"/>
    <x v="0"/>
    <x v="4"/>
    <s v="Wholesale"/>
    <n v="3"/>
    <n v="2339.5500000000002"/>
    <n v="0"/>
    <x v="431"/>
  </r>
  <r>
    <n v="10163"/>
    <d v="2025-01-14T00:00:00"/>
    <x v="8"/>
    <x v="1"/>
    <x v="1"/>
    <x v="4"/>
    <s v="Wholesale"/>
    <n v="2"/>
    <n v="3530.09"/>
    <n v="0"/>
    <x v="432"/>
  </r>
  <r>
    <n v="10582"/>
    <d v="2025-08-15T00:00:00"/>
    <x v="6"/>
    <x v="1"/>
    <x v="1"/>
    <x v="3"/>
    <s v="Online"/>
    <n v="3"/>
    <n v="2357.65"/>
    <n v="10"/>
    <x v="433"/>
  </r>
  <r>
    <n v="10351"/>
    <d v="2025-07-14T00:00:00"/>
    <x v="8"/>
    <x v="1"/>
    <x v="3"/>
    <x v="1"/>
    <s v="Wholesale"/>
    <n v="2"/>
    <n v="3573.57"/>
    <n v="0"/>
    <x v="434"/>
  </r>
  <r>
    <n v="10084"/>
    <d v="2025-02-28T00:00:00"/>
    <x v="8"/>
    <x v="1"/>
    <x v="1"/>
    <x v="0"/>
    <s v="Online"/>
    <n v="2"/>
    <n v="3592.39"/>
    <n v="0"/>
    <x v="435"/>
  </r>
  <r>
    <n v="10065"/>
    <d v="2025-03-28T00:00:00"/>
    <x v="7"/>
    <x v="2"/>
    <x v="3"/>
    <x v="5"/>
    <s v="Online"/>
    <n v="3"/>
    <n v="2397.39"/>
    <n v="20"/>
    <x v="436"/>
  </r>
  <r>
    <n v="10039"/>
    <d v="2025-02-11T00:00:00"/>
    <x v="6"/>
    <x v="1"/>
    <x v="0"/>
    <x v="3"/>
    <s v="Online"/>
    <n v="3"/>
    <n v="2398.94"/>
    <n v="0"/>
    <x v="437"/>
  </r>
  <r>
    <n v="10469"/>
    <d v="2025-12-27T00:00:00"/>
    <x v="6"/>
    <x v="1"/>
    <x v="1"/>
    <x v="4"/>
    <s v="Online"/>
    <n v="3"/>
    <n v="2404.88"/>
    <n v="0"/>
    <x v="438"/>
  </r>
  <r>
    <n v="10394"/>
    <d v="2025-08-08T00:00:00"/>
    <x v="8"/>
    <x v="1"/>
    <x v="1"/>
    <x v="1"/>
    <s v="Retail"/>
    <n v="2"/>
    <n v="3608.7"/>
    <n v="20"/>
    <x v="439"/>
  </r>
  <r>
    <n v="10259"/>
    <d v="2025-03-15T00:00:00"/>
    <x v="6"/>
    <x v="1"/>
    <x v="2"/>
    <x v="3"/>
    <s v="Wholesale"/>
    <n v="3"/>
    <n v="2408.29"/>
    <n v="0"/>
    <x v="440"/>
  </r>
  <r>
    <n v="10625"/>
    <d v="2025-06-15T00:00:00"/>
    <x v="8"/>
    <x v="1"/>
    <x v="3"/>
    <x v="3"/>
    <s v="Online"/>
    <n v="2"/>
    <n v="3616.17"/>
    <n v="0"/>
    <x v="441"/>
  </r>
  <r>
    <n v="10073"/>
    <d v="2025-02-09T00:00:00"/>
    <x v="7"/>
    <x v="2"/>
    <x v="2"/>
    <x v="2"/>
    <s v="Wholesale"/>
    <n v="3"/>
    <n v="2453.9499999999998"/>
    <n v="10"/>
    <x v="442"/>
  </r>
  <r>
    <n v="10563"/>
    <d v="2025-06-19T00:00:00"/>
    <x v="7"/>
    <x v="2"/>
    <x v="0"/>
    <x v="3"/>
    <s v="Online"/>
    <n v="3"/>
    <n v="2552.96"/>
    <n v="0"/>
    <x v="443"/>
  </r>
  <r>
    <n v="10270"/>
    <d v="2025-03-12T00:00:00"/>
    <x v="2"/>
    <x v="1"/>
    <x v="2"/>
    <x v="0"/>
    <s v="Online"/>
    <n v="10"/>
    <n v="770.95"/>
    <n v="10"/>
    <x v="444"/>
  </r>
  <r>
    <n v="10030"/>
    <d v="2025-01-28T00:00:00"/>
    <x v="7"/>
    <x v="2"/>
    <x v="3"/>
    <x v="4"/>
    <s v="Wholesale"/>
    <n v="3"/>
    <n v="2574.12"/>
    <n v="0"/>
    <x v="445"/>
  </r>
  <r>
    <n v="10446"/>
    <d v="2025-08-27T00:00:00"/>
    <x v="7"/>
    <x v="2"/>
    <x v="2"/>
    <x v="0"/>
    <s v="Retail"/>
    <n v="3"/>
    <n v="2615.11"/>
    <n v="0"/>
    <x v="446"/>
  </r>
  <r>
    <n v="10288"/>
    <d v="2025-10-09T00:00:00"/>
    <x v="2"/>
    <x v="1"/>
    <x v="1"/>
    <x v="0"/>
    <s v="Online"/>
    <n v="10"/>
    <n v="797.2"/>
    <n v="0"/>
    <x v="447"/>
  </r>
  <r>
    <n v="10033"/>
    <d v="2025-02-17T00:00:00"/>
    <x v="2"/>
    <x v="1"/>
    <x v="1"/>
    <x v="2"/>
    <s v="Wholesale"/>
    <n v="10"/>
    <n v="797.51"/>
    <n v="20"/>
    <x v="448"/>
  </r>
  <r>
    <n v="10618"/>
    <d v="2025-10-10T00:00:00"/>
    <x v="2"/>
    <x v="1"/>
    <x v="2"/>
    <x v="1"/>
    <s v="Online"/>
    <n v="10"/>
    <n v="811.3"/>
    <n v="0"/>
    <x v="449"/>
  </r>
  <r>
    <n v="10548"/>
    <d v="2025-03-12T00:00:00"/>
    <x v="2"/>
    <x v="1"/>
    <x v="1"/>
    <x v="5"/>
    <s v="Wholesale"/>
    <n v="10"/>
    <n v="835.36"/>
    <n v="0"/>
    <x v="450"/>
  </r>
  <r>
    <n v="10380"/>
    <d v="2025-04-06T00:00:00"/>
    <x v="3"/>
    <x v="2"/>
    <x v="2"/>
    <x v="5"/>
    <s v="Retail"/>
    <n v="10"/>
    <n v="864.29"/>
    <n v="15"/>
    <x v="451"/>
  </r>
  <r>
    <n v="10243"/>
    <d v="2025-03-02T00:00:00"/>
    <x v="3"/>
    <x v="2"/>
    <x v="2"/>
    <x v="5"/>
    <s v="Online"/>
    <n v="10"/>
    <n v="873.34"/>
    <n v="10"/>
    <x v="452"/>
  </r>
  <r>
    <n v="10099"/>
    <d v="2025-12-20T00:00:00"/>
    <x v="3"/>
    <x v="2"/>
    <x v="1"/>
    <x v="2"/>
    <s v="Retail"/>
    <n v="10"/>
    <n v="878.91"/>
    <n v="10"/>
    <x v="453"/>
  </r>
  <r>
    <n v="10557"/>
    <d v="2025-08-29T00:00:00"/>
    <x v="3"/>
    <x v="2"/>
    <x v="0"/>
    <x v="2"/>
    <s v="Retail"/>
    <n v="10"/>
    <n v="882.87"/>
    <n v="0"/>
    <x v="454"/>
  </r>
  <r>
    <n v="10059"/>
    <d v="2025-07-17T00:00:00"/>
    <x v="5"/>
    <x v="1"/>
    <x v="1"/>
    <x v="5"/>
    <s v="Retail"/>
    <n v="5"/>
    <n v="1804.37"/>
    <n v="20"/>
    <x v="455"/>
  </r>
  <r>
    <n v="10459"/>
    <d v="2025-01-10T00:00:00"/>
    <x v="3"/>
    <x v="2"/>
    <x v="0"/>
    <x v="3"/>
    <s v="Wholesale"/>
    <n v="10"/>
    <n v="903"/>
    <n v="5"/>
    <x v="456"/>
  </r>
  <r>
    <n v="10277"/>
    <d v="2025-04-08T00:00:00"/>
    <x v="5"/>
    <x v="1"/>
    <x v="3"/>
    <x v="0"/>
    <s v="Wholesale"/>
    <n v="5"/>
    <n v="1832.81"/>
    <n v="15"/>
    <x v="457"/>
  </r>
  <r>
    <n v="10374"/>
    <d v="2025-09-05T00:00:00"/>
    <x v="3"/>
    <x v="2"/>
    <x v="2"/>
    <x v="0"/>
    <s v="Retail"/>
    <n v="10"/>
    <n v="918.96"/>
    <n v="5"/>
    <x v="458"/>
  </r>
  <r>
    <n v="10189"/>
    <d v="2025-06-10T00:00:00"/>
    <x v="5"/>
    <x v="1"/>
    <x v="0"/>
    <x v="1"/>
    <s v="Wholesale"/>
    <n v="5"/>
    <n v="1859.03"/>
    <n v="5"/>
    <x v="459"/>
  </r>
  <r>
    <n v="10092"/>
    <d v="2025-05-23T00:00:00"/>
    <x v="5"/>
    <x v="1"/>
    <x v="0"/>
    <x v="2"/>
    <s v="Wholesale"/>
    <n v="5"/>
    <n v="1867.93"/>
    <n v="5"/>
    <x v="460"/>
  </r>
  <r>
    <n v="10627"/>
    <d v="2025-09-22T00:00:00"/>
    <x v="5"/>
    <x v="1"/>
    <x v="2"/>
    <x v="0"/>
    <s v="Retail"/>
    <n v="5"/>
    <n v="1871.07"/>
    <n v="20"/>
    <x v="461"/>
  </r>
  <r>
    <n v="10341"/>
    <d v="2025-12-01T00:00:00"/>
    <x v="5"/>
    <x v="1"/>
    <x v="3"/>
    <x v="4"/>
    <s v="Wholesale"/>
    <n v="5"/>
    <n v="1875.67"/>
    <n v="5"/>
    <x v="462"/>
  </r>
  <r>
    <n v="10599"/>
    <d v="2025-10-22T00:00:00"/>
    <x v="5"/>
    <x v="1"/>
    <x v="1"/>
    <x v="5"/>
    <s v="Wholesale"/>
    <n v="5"/>
    <n v="1889.72"/>
    <n v="5"/>
    <x v="463"/>
  </r>
  <r>
    <n v="10056"/>
    <d v="2025-05-23T00:00:00"/>
    <x v="5"/>
    <x v="1"/>
    <x v="2"/>
    <x v="3"/>
    <s v="Online"/>
    <n v="5"/>
    <n v="1933.09"/>
    <n v="20"/>
    <x v="464"/>
  </r>
  <r>
    <n v="10150"/>
    <d v="2025-03-14T00:00:00"/>
    <x v="5"/>
    <x v="1"/>
    <x v="1"/>
    <x v="3"/>
    <s v="Online"/>
    <n v="5"/>
    <n v="1987.73"/>
    <n v="20"/>
    <x v="465"/>
  </r>
  <r>
    <n v="10250"/>
    <d v="2025-02-07T00:00:00"/>
    <x v="8"/>
    <x v="1"/>
    <x v="0"/>
    <x v="0"/>
    <s v="Online"/>
    <n v="3"/>
    <n v="3368.95"/>
    <n v="20"/>
    <x v="466"/>
  </r>
  <r>
    <n v="10294"/>
    <d v="2025-05-12T00:00:00"/>
    <x v="8"/>
    <x v="1"/>
    <x v="1"/>
    <x v="4"/>
    <s v="Online"/>
    <n v="3"/>
    <n v="3600.74"/>
    <n v="10"/>
    <x v="467"/>
  </r>
  <r>
    <n v="10612"/>
    <d v="2025-06-06T00:00:00"/>
    <x v="8"/>
    <x v="1"/>
    <x v="1"/>
    <x v="1"/>
    <s v="Online"/>
    <n v="3"/>
    <n v="3606.66"/>
    <n v="5"/>
    <x v="468"/>
  </r>
  <r>
    <n v="10131"/>
    <d v="2025-03-19T00:00:00"/>
    <x v="8"/>
    <x v="1"/>
    <x v="0"/>
    <x v="4"/>
    <s v="Retail"/>
    <n v="3"/>
    <n v="3628.36"/>
    <n v="20"/>
    <x v="469"/>
  </r>
  <r>
    <n v="10626"/>
    <d v="2025-10-06T00:00:00"/>
    <x v="6"/>
    <x v="1"/>
    <x v="1"/>
    <x v="0"/>
    <s v="Online"/>
    <n v="5"/>
    <n v="2268.0300000000002"/>
    <n v="15"/>
    <x v="470"/>
  </r>
  <r>
    <n v="10531"/>
    <d v="2025-07-11T00:00:00"/>
    <x v="9"/>
    <x v="3"/>
    <x v="3"/>
    <x v="5"/>
    <s v="Online"/>
    <n v="2"/>
    <n v="5709.8"/>
    <n v="0"/>
    <x v="471"/>
  </r>
  <r>
    <n v="10276"/>
    <d v="2025-11-14T00:00:00"/>
    <x v="9"/>
    <x v="3"/>
    <x v="0"/>
    <x v="2"/>
    <s v="Online"/>
    <n v="2"/>
    <n v="5717.99"/>
    <n v="15"/>
    <x v="472"/>
  </r>
  <r>
    <n v="10484"/>
    <d v="2025-10-04T00:00:00"/>
    <x v="9"/>
    <x v="3"/>
    <x v="2"/>
    <x v="3"/>
    <s v="Wholesale"/>
    <n v="2"/>
    <n v="5841.56"/>
    <n v="0"/>
    <x v="473"/>
  </r>
  <r>
    <n v="10282"/>
    <d v="2025-09-08T00:00:00"/>
    <x v="9"/>
    <x v="3"/>
    <x v="2"/>
    <x v="0"/>
    <s v="Wholesale"/>
    <n v="2"/>
    <n v="5871.69"/>
    <n v="10"/>
    <x v="474"/>
  </r>
  <r>
    <n v="10583"/>
    <d v="2025-11-05T00:00:00"/>
    <x v="9"/>
    <x v="3"/>
    <x v="1"/>
    <x v="3"/>
    <s v="Retail"/>
    <n v="2"/>
    <n v="5968.29"/>
    <n v="15"/>
    <x v="475"/>
  </r>
  <r>
    <n v="10642"/>
    <d v="2025-10-22T00:00:00"/>
    <x v="9"/>
    <x v="3"/>
    <x v="3"/>
    <x v="0"/>
    <s v="Retail"/>
    <n v="2"/>
    <n v="5985.29"/>
    <n v="0"/>
    <x v="476"/>
  </r>
  <r>
    <n v="10491"/>
    <d v="2025-04-27T00:00:00"/>
    <x v="6"/>
    <x v="1"/>
    <x v="3"/>
    <x v="0"/>
    <s v="Online"/>
    <n v="5"/>
    <n v="2406.0500000000002"/>
    <n v="15"/>
    <x v="477"/>
  </r>
  <r>
    <n v="10350"/>
    <d v="2025-04-27T00:00:00"/>
    <x v="7"/>
    <x v="2"/>
    <x v="2"/>
    <x v="1"/>
    <s v="Wholesale"/>
    <n v="5"/>
    <n v="2420.4699999999998"/>
    <n v="10"/>
    <x v="478"/>
  </r>
  <r>
    <n v="10286"/>
    <d v="2025-10-28T00:00:00"/>
    <x v="9"/>
    <x v="3"/>
    <x v="1"/>
    <x v="2"/>
    <s v="Retail"/>
    <n v="2"/>
    <n v="6081.75"/>
    <n v="0"/>
    <x v="479"/>
  </r>
  <r>
    <n v="10520"/>
    <d v="2025-10-20T00:00:00"/>
    <x v="9"/>
    <x v="3"/>
    <x v="1"/>
    <x v="5"/>
    <s v="Online"/>
    <n v="2"/>
    <n v="6110.77"/>
    <n v="15"/>
    <x v="480"/>
  </r>
  <r>
    <n v="10360"/>
    <d v="2025-02-24T00:00:00"/>
    <x v="7"/>
    <x v="2"/>
    <x v="1"/>
    <x v="5"/>
    <s v="Retail"/>
    <n v="5"/>
    <n v="2457.0700000000002"/>
    <n v="10"/>
    <x v="481"/>
  </r>
  <r>
    <n v="10284"/>
    <d v="2025-02-10T00:00:00"/>
    <x v="9"/>
    <x v="3"/>
    <x v="2"/>
    <x v="0"/>
    <s v="Online"/>
    <n v="2"/>
    <n v="6147.38"/>
    <n v="0"/>
    <x v="482"/>
  </r>
  <r>
    <n v="10528"/>
    <d v="2025-11-20T00:00:00"/>
    <x v="11"/>
    <x v="3"/>
    <x v="1"/>
    <x v="5"/>
    <s v="Online"/>
    <n v="1"/>
    <n v="12355.18"/>
    <n v="0"/>
    <x v="483"/>
  </r>
  <r>
    <n v="10585"/>
    <d v="2025-10-12T00:00:00"/>
    <x v="10"/>
    <x v="3"/>
    <x v="2"/>
    <x v="2"/>
    <s v="Retail"/>
    <n v="2"/>
    <n v="6177.72"/>
    <n v="5"/>
    <x v="484"/>
  </r>
  <r>
    <n v="10247"/>
    <d v="2025-03-04T00:00:00"/>
    <x v="4"/>
    <x v="2"/>
    <x v="1"/>
    <x v="2"/>
    <s v="Retail"/>
    <n v="10"/>
    <n v="1237.46"/>
    <n v="10"/>
    <x v="485"/>
  </r>
  <r>
    <n v="10375"/>
    <d v="2025-02-04T00:00:00"/>
    <x v="11"/>
    <x v="3"/>
    <x v="2"/>
    <x v="4"/>
    <s v="Online"/>
    <n v="1"/>
    <n v="12378.41"/>
    <n v="0"/>
    <x v="486"/>
  </r>
  <r>
    <n v="10460"/>
    <d v="2025-10-17T00:00:00"/>
    <x v="11"/>
    <x v="3"/>
    <x v="2"/>
    <x v="0"/>
    <s v="Wholesale"/>
    <n v="1"/>
    <n v="12382.93"/>
    <n v="10"/>
    <x v="487"/>
  </r>
  <r>
    <n v="10560"/>
    <d v="2025-03-02T00:00:00"/>
    <x v="11"/>
    <x v="3"/>
    <x v="0"/>
    <x v="3"/>
    <s v="Online"/>
    <n v="1"/>
    <n v="12482.48"/>
    <n v="5"/>
    <x v="488"/>
  </r>
  <r>
    <n v="10304"/>
    <d v="2025-10-21T00:00:00"/>
    <x v="4"/>
    <x v="2"/>
    <x v="1"/>
    <x v="2"/>
    <s v="Wholesale"/>
    <n v="10"/>
    <n v="1249.1500000000001"/>
    <n v="0"/>
    <x v="489"/>
  </r>
  <r>
    <n v="10217"/>
    <d v="2025-06-28T00:00:00"/>
    <x v="7"/>
    <x v="2"/>
    <x v="3"/>
    <x v="0"/>
    <s v="Retail"/>
    <n v="5"/>
    <n v="2499.5"/>
    <n v="0"/>
    <x v="490"/>
  </r>
  <r>
    <n v="10178"/>
    <d v="2025-05-17T00:00:00"/>
    <x v="9"/>
    <x v="3"/>
    <x v="3"/>
    <x v="2"/>
    <s v="Wholesale"/>
    <n v="2"/>
    <n v="6251.88"/>
    <n v="0"/>
    <x v="491"/>
  </r>
  <r>
    <n v="10253"/>
    <d v="2025-02-10T00:00:00"/>
    <x v="10"/>
    <x v="3"/>
    <x v="2"/>
    <x v="2"/>
    <s v="Online"/>
    <n v="2"/>
    <n v="6255.4"/>
    <n v="0"/>
    <x v="492"/>
  </r>
  <r>
    <n v="10274"/>
    <d v="2025-11-19T00:00:00"/>
    <x v="9"/>
    <x v="3"/>
    <x v="3"/>
    <x v="1"/>
    <s v="Wholesale"/>
    <n v="2"/>
    <n v="6279.2"/>
    <n v="20"/>
    <x v="493"/>
  </r>
  <r>
    <n v="10381"/>
    <d v="2025-09-28T00:00:00"/>
    <x v="7"/>
    <x v="2"/>
    <x v="2"/>
    <x v="1"/>
    <s v="Wholesale"/>
    <n v="5"/>
    <n v="2520.7399999999998"/>
    <n v="0"/>
    <x v="494"/>
  </r>
  <r>
    <n v="10116"/>
    <d v="2025-09-23T00:00:00"/>
    <x v="7"/>
    <x v="2"/>
    <x v="0"/>
    <x v="5"/>
    <s v="Retail"/>
    <n v="5"/>
    <n v="2532.6799999999998"/>
    <n v="5"/>
    <x v="495"/>
  </r>
  <r>
    <n v="10647"/>
    <d v="2025-07-31T00:00:00"/>
    <x v="4"/>
    <x v="2"/>
    <x v="0"/>
    <x v="2"/>
    <s v="Wholesale"/>
    <n v="10"/>
    <n v="1267.02"/>
    <n v="0"/>
    <x v="496"/>
  </r>
  <r>
    <n v="10098"/>
    <d v="2025-06-06T00:00:00"/>
    <x v="10"/>
    <x v="3"/>
    <x v="2"/>
    <x v="2"/>
    <s v="Retail"/>
    <n v="2"/>
    <n v="6379.12"/>
    <n v="15"/>
    <x v="497"/>
  </r>
  <r>
    <n v="10519"/>
    <d v="2025-06-01T00:00:00"/>
    <x v="7"/>
    <x v="2"/>
    <x v="2"/>
    <x v="0"/>
    <s v="Wholesale"/>
    <n v="5"/>
    <n v="2558.16"/>
    <n v="10"/>
    <x v="498"/>
  </r>
  <r>
    <n v="10137"/>
    <d v="2025-01-15T00:00:00"/>
    <x v="10"/>
    <x v="3"/>
    <x v="3"/>
    <x v="5"/>
    <s v="Retail"/>
    <n v="2"/>
    <n v="6407.02"/>
    <n v="5"/>
    <x v="499"/>
  </r>
  <r>
    <n v="10628"/>
    <d v="2025-09-07T00:00:00"/>
    <x v="11"/>
    <x v="3"/>
    <x v="0"/>
    <x v="1"/>
    <s v="Retail"/>
    <n v="1"/>
    <n v="12920.87"/>
    <n v="0"/>
    <x v="500"/>
  </r>
  <r>
    <n v="10008"/>
    <d v="2025-02-10T00:00:00"/>
    <x v="10"/>
    <x v="3"/>
    <x v="1"/>
    <x v="4"/>
    <s v="Wholesale"/>
    <n v="2"/>
    <n v="6468.72"/>
    <n v="20"/>
    <x v="501"/>
  </r>
  <r>
    <n v="10524"/>
    <d v="2025-08-04T00:00:00"/>
    <x v="10"/>
    <x v="3"/>
    <x v="2"/>
    <x v="5"/>
    <s v="Wholesale"/>
    <n v="2"/>
    <n v="6475.45"/>
    <n v="0"/>
    <x v="502"/>
  </r>
  <r>
    <n v="10077"/>
    <d v="2025-07-19T00:00:00"/>
    <x v="10"/>
    <x v="3"/>
    <x v="0"/>
    <x v="1"/>
    <s v="Online"/>
    <n v="2"/>
    <n v="6491.35"/>
    <n v="0"/>
    <x v="503"/>
  </r>
  <r>
    <n v="10434"/>
    <d v="2025-05-19T00:00:00"/>
    <x v="11"/>
    <x v="3"/>
    <x v="3"/>
    <x v="1"/>
    <s v="Wholesale"/>
    <n v="1"/>
    <n v="13001.65"/>
    <n v="0"/>
    <x v="504"/>
  </r>
  <r>
    <n v="10428"/>
    <d v="2025-03-02T00:00:00"/>
    <x v="10"/>
    <x v="3"/>
    <x v="3"/>
    <x v="5"/>
    <s v="Wholesale"/>
    <n v="2"/>
    <n v="6514.5"/>
    <n v="0"/>
    <x v="505"/>
  </r>
  <r>
    <n v="10307"/>
    <d v="2025-01-12T00:00:00"/>
    <x v="10"/>
    <x v="3"/>
    <x v="0"/>
    <x v="5"/>
    <s v="Retail"/>
    <n v="2"/>
    <n v="6549.89"/>
    <n v="0"/>
    <x v="506"/>
  </r>
  <r>
    <n v="10185"/>
    <d v="2025-09-27T00:00:00"/>
    <x v="7"/>
    <x v="2"/>
    <x v="2"/>
    <x v="4"/>
    <s v="Retail"/>
    <n v="5"/>
    <n v="2620.06"/>
    <n v="0"/>
    <x v="507"/>
  </r>
  <r>
    <n v="10595"/>
    <d v="2025-09-21T00:00:00"/>
    <x v="11"/>
    <x v="3"/>
    <x v="3"/>
    <x v="4"/>
    <s v="Retail"/>
    <n v="1"/>
    <n v="13164"/>
    <n v="0"/>
    <x v="508"/>
  </r>
  <r>
    <n v="10421"/>
    <d v="2025-04-21T00:00:00"/>
    <x v="10"/>
    <x v="3"/>
    <x v="3"/>
    <x v="4"/>
    <s v="Wholesale"/>
    <n v="2"/>
    <n v="6582.56"/>
    <n v="10"/>
    <x v="509"/>
  </r>
  <r>
    <n v="10418"/>
    <d v="2025-09-11T00:00:00"/>
    <x v="4"/>
    <x v="2"/>
    <x v="0"/>
    <x v="4"/>
    <s v="Retail"/>
    <n v="10"/>
    <n v="1316.94"/>
    <n v="0"/>
    <x v="510"/>
  </r>
  <r>
    <n v="10240"/>
    <d v="2025-07-05T00:00:00"/>
    <x v="11"/>
    <x v="3"/>
    <x v="0"/>
    <x v="1"/>
    <s v="Retail"/>
    <n v="1"/>
    <n v="13231.76"/>
    <n v="0"/>
    <x v="511"/>
  </r>
  <r>
    <n v="10227"/>
    <d v="2025-01-09T00:00:00"/>
    <x v="10"/>
    <x v="3"/>
    <x v="2"/>
    <x v="4"/>
    <s v="Wholesale"/>
    <n v="2"/>
    <n v="6650.39"/>
    <n v="15"/>
    <x v="512"/>
  </r>
  <r>
    <n v="10504"/>
    <d v="2025-08-15T00:00:00"/>
    <x v="4"/>
    <x v="2"/>
    <x v="1"/>
    <x v="0"/>
    <s v="Online"/>
    <n v="10"/>
    <n v="1332.71"/>
    <n v="20"/>
    <x v="513"/>
  </r>
  <r>
    <n v="10578"/>
    <d v="2025-03-16T00:00:00"/>
    <x v="10"/>
    <x v="3"/>
    <x v="3"/>
    <x v="3"/>
    <s v="Wholesale"/>
    <n v="2"/>
    <n v="6663.81"/>
    <n v="0"/>
    <x v="514"/>
  </r>
  <r>
    <n v="10588"/>
    <d v="2025-09-27T00:00:00"/>
    <x v="11"/>
    <x v="3"/>
    <x v="1"/>
    <x v="2"/>
    <s v="Online"/>
    <n v="1"/>
    <n v="13371.11"/>
    <n v="0"/>
    <x v="515"/>
  </r>
  <r>
    <n v="10598"/>
    <d v="2025-01-20T00:00:00"/>
    <x v="11"/>
    <x v="3"/>
    <x v="3"/>
    <x v="4"/>
    <s v="Retail"/>
    <n v="1"/>
    <n v="13381.45"/>
    <n v="10"/>
    <x v="516"/>
  </r>
  <r>
    <n v="10103"/>
    <d v="2025-04-05T00:00:00"/>
    <x v="11"/>
    <x v="3"/>
    <x v="3"/>
    <x v="5"/>
    <s v="Wholesale"/>
    <n v="1"/>
    <n v="13417.72"/>
    <n v="5"/>
    <x v="517"/>
  </r>
  <r>
    <n v="10019"/>
    <d v="2025-09-14T00:00:00"/>
    <x v="10"/>
    <x v="3"/>
    <x v="1"/>
    <x v="1"/>
    <s v="Retail"/>
    <n v="2"/>
    <n v="6721.05"/>
    <n v="10"/>
    <x v="518"/>
  </r>
  <r>
    <n v="10624"/>
    <d v="2025-09-23T00:00:00"/>
    <x v="4"/>
    <x v="2"/>
    <x v="2"/>
    <x v="0"/>
    <s v="Wholesale"/>
    <n v="10"/>
    <n v="1348.56"/>
    <n v="0"/>
    <x v="519"/>
  </r>
  <r>
    <n v="10454"/>
    <d v="2025-03-04T00:00:00"/>
    <x v="11"/>
    <x v="3"/>
    <x v="3"/>
    <x v="0"/>
    <s v="Retail"/>
    <n v="1"/>
    <n v="13550.33"/>
    <n v="5"/>
    <x v="520"/>
  </r>
  <r>
    <n v="10554"/>
    <d v="2025-12-02T00:00:00"/>
    <x v="10"/>
    <x v="3"/>
    <x v="2"/>
    <x v="4"/>
    <s v="Online"/>
    <n v="2"/>
    <n v="6809.58"/>
    <n v="15"/>
    <x v="521"/>
  </r>
  <r>
    <n v="10296"/>
    <d v="2025-02-14T00:00:00"/>
    <x v="11"/>
    <x v="3"/>
    <x v="0"/>
    <x v="3"/>
    <s v="Retail"/>
    <n v="1"/>
    <n v="13625.14"/>
    <n v="5"/>
    <x v="522"/>
  </r>
  <r>
    <n v="10646"/>
    <d v="2025-10-02T00:00:00"/>
    <x v="10"/>
    <x v="3"/>
    <x v="0"/>
    <x v="1"/>
    <s v="Wholesale"/>
    <n v="2"/>
    <n v="6818.62"/>
    <n v="5"/>
    <x v="523"/>
  </r>
  <r>
    <n v="10205"/>
    <d v="2025-03-14T00:00:00"/>
    <x v="8"/>
    <x v="1"/>
    <x v="2"/>
    <x v="5"/>
    <s v="Online"/>
    <n v="5"/>
    <n v="3369.17"/>
    <n v="15"/>
    <x v="524"/>
  </r>
  <r>
    <n v="10320"/>
    <d v="2025-07-15T00:00:00"/>
    <x v="8"/>
    <x v="1"/>
    <x v="2"/>
    <x v="3"/>
    <s v="Wholesale"/>
    <n v="5"/>
    <n v="3376.26"/>
    <n v="5"/>
    <x v="525"/>
  </r>
  <r>
    <n v="10401"/>
    <d v="2025-12-07T00:00:00"/>
    <x v="8"/>
    <x v="1"/>
    <x v="2"/>
    <x v="4"/>
    <s v="Online"/>
    <n v="5"/>
    <n v="3400.27"/>
    <n v="5"/>
    <x v="526"/>
  </r>
  <r>
    <n v="10429"/>
    <d v="2025-10-23T00:00:00"/>
    <x v="9"/>
    <x v="3"/>
    <x v="3"/>
    <x v="0"/>
    <s v="Wholesale"/>
    <n v="3"/>
    <n v="5732.31"/>
    <n v="20"/>
    <x v="527"/>
  </r>
  <r>
    <n v="10048"/>
    <d v="2025-05-15T00:00:00"/>
    <x v="8"/>
    <x v="1"/>
    <x v="1"/>
    <x v="3"/>
    <s v="Wholesale"/>
    <n v="5"/>
    <n v="3520.31"/>
    <n v="0"/>
    <x v="528"/>
  </r>
  <r>
    <n v="10470"/>
    <d v="2025-12-06T00:00:00"/>
    <x v="9"/>
    <x v="3"/>
    <x v="0"/>
    <x v="1"/>
    <s v="Retail"/>
    <n v="3"/>
    <n v="5880.08"/>
    <n v="0"/>
    <x v="529"/>
  </r>
  <r>
    <n v="10363"/>
    <d v="2025-12-22T00:00:00"/>
    <x v="9"/>
    <x v="3"/>
    <x v="0"/>
    <x v="1"/>
    <s v="Retail"/>
    <n v="3"/>
    <n v="5924.65"/>
    <n v="20"/>
    <x v="530"/>
  </r>
  <r>
    <n v="10299"/>
    <d v="2025-03-02T00:00:00"/>
    <x v="8"/>
    <x v="1"/>
    <x v="0"/>
    <x v="5"/>
    <s v="Retail"/>
    <n v="5"/>
    <n v="3564.11"/>
    <n v="15"/>
    <x v="531"/>
  </r>
  <r>
    <n v="10329"/>
    <d v="2025-08-29T00:00:00"/>
    <x v="9"/>
    <x v="3"/>
    <x v="2"/>
    <x v="2"/>
    <s v="Wholesale"/>
    <n v="3"/>
    <n v="5947.37"/>
    <n v="10"/>
    <x v="532"/>
  </r>
  <r>
    <n v="10424"/>
    <d v="2025-12-15T00:00:00"/>
    <x v="8"/>
    <x v="1"/>
    <x v="3"/>
    <x v="5"/>
    <s v="Online"/>
    <n v="5"/>
    <n v="3579.46"/>
    <n v="20"/>
    <x v="533"/>
  </r>
  <r>
    <n v="10570"/>
    <d v="2025-03-07T00:00:00"/>
    <x v="9"/>
    <x v="3"/>
    <x v="3"/>
    <x v="0"/>
    <s v="Online"/>
    <n v="3"/>
    <n v="6001.47"/>
    <n v="5"/>
    <x v="534"/>
  </r>
  <r>
    <n v="10148"/>
    <d v="2025-08-01T00:00:00"/>
    <x v="9"/>
    <x v="3"/>
    <x v="1"/>
    <x v="2"/>
    <s v="Retail"/>
    <n v="3"/>
    <n v="6017.51"/>
    <n v="0"/>
    <x v="535"/>
  </r>
  <r>
    <n v="10295"/>
    <d v="2025-04-09T00:00:00"/>
    <x v="8"/>
    <x v="1"/>
    <x v="1"/>
    <x v="1"/>
    <s v="Online"/>
    <n v="5"/>
    <n v="3613.41"/>
    <n v="10"/>
    <x v="536"/>
  </r>
  <r>
    <n v="10069"/>
    <d v="2025-08-06T00:00:00"/>
    <x v="5"/>
    <x v="1"/>
    <x v="1"/>
    <x v="2"/>
    <s v="Online"/>
    <n v="10"/>
    <n v="1813.59"/>
    <n v="0"/>
    <x v="537"/>
  </r>
  <r>
    <n v="10051"/>
    <d v="2025-05-08T00:00:00"/>
    <x v="8"/>
    <x v="1"/>
    <x v="3"/>
    <x v="5"/>
    <s v="Online"/>
    <n v="5"/>
    <n v="3664.8"/>
    <n v="15"/>
    <x v="538"/>
  </r>
  <r>
    <n v="10501"/>
    <d v="2025-09-01T00:00:00"/>
    <x v="9"/>
    <x v="3"/>
    <x v="2"/>
    <x v="5"/>
    <s v="Retail"/>
    <n v="3"/>
    <n v="6189.4"/>
    <n v="0"/>
    <x v="539"/>
  </r>
  <r>
    <n v="10463"/>
    <d v="2025-01-29T00:00:00"/>
    <x v="9"/>
    <x v="3"/>
    <x v="1"/>
    <x v="1"/>
    <s v="Wholesale"/>
    <n v="3"/>
    <n v="6260.08"/>
    <n v="20"/>
    <x v="540"/>
  </r>
  <r>
    <n v="10611"/>
    <d v="2025-05-26T00:00:00"/>
    <x v="5"/>
    <x v="1"/>
    <x v="3"/>
    <x v="2"/>
    <s v="Wholesale"/>
    <n v="10"/>
    <n v="1889.63"/>
    <n v="10"/>
    <x v="541"/>
  </r>
  <r>
    <n v="10004"/>
    <d v="2025-01-04T00:00:00"/>
    <x v="10"/>
    <x v="3"/>
    <x v="1"/>
    <x v="3"/>
    <s v="Wholesale"/>
    <n v="3"/>
    <n v="6354.64"/>
    <n v="0"/>
    <x v="542"/>
  </r>
  <r>
    <n v="10354"/>
    <d v="2025-03-09T00:00:00"/>
    <x v="5"/>
    <x v="1"/>
    <x v="3"/>
    <x v="2"/>
    <s v="Wholesale"/>
    <n v="10"/>
    <n v="1909.82"/>
    <n v="10"/>
    <x v="543"/>
  </r>
  <r>
    <n v="10300"/>
    <d v="2025-12-20T00:00:00"/>
    <x v="10"/>
    <x v="3"/>
    <x v="3"/>
    <x v="3"/>
    <s v="Wholesale"/>
    <n v="3"/>
    <n v="6573.5"/>
    <n v="0"/>
    <x v="544"/>
  </r>
  <r>
    <n v="10198"/>
    <d v="2025-08-25T00:00:00"/>
    <x v="10"/>
    <x v="3"/>
    <x v="0"/>
    <x v="4"/>
    <s v="Retail"/>
    <n v="3"/>
    <n v="6714.57"/>
    <n v="0"/>
    <x v="545"/>
  </r>
  <r>
    <n v="10516"/>
    <d v="2025-05-25T00:00:00"/>
    <x v="6"/>
    <x v="1"/>
    <x v="2"/>
    <x v="3"/>
    <s v="Retail"/>
    <n v="10"/>
    <n v="2198.73"/>
    <n v="0"/>
    <x v="546"/>
  </r>
  <r>
    <n v="10372"/>
    <d v="2025-12-20T00:00:00"/>
    <x v="6"/>
    <x v="1"/>
    <x v="1"/>
    <x v="6"/>
    <s v="Retail"/>
    <n v="10"/>
    <n v="2208.09"/>
    <n v="5"/>
    <x v="547"/>
  </r>
  <r>
    <n v="10621"/>
    <d v="2025-12-17T00:00:00"/>
    <x v="6"/>
    <x v="1"/>
    <x v="1"/>
    <x v="1"/>
    <s v="Retail"/>
    <n v="10"/>
    <n v="2220.66"/>
    <n v="10"/>
    <x v="548"/>
  </r>
  <r>
    <n v="10275"/>
    <d v="2025-10-23T00:00:00"/>
    <x v="6"/>
    <x v="1"/>
    <x v="1"/>
    <x v="3"/>
    <s v="Retail"/>
    <n v="10"/>
    <n v="2223.25"/>
    <n v="15"/>
    <x v="549"/>
  </r>
  <r>
    <n v="10200"/>
    <d v="2025-11-30T00:00:00"/>
    <x v="6"/>
    <x v="1"/>
    <x v="1"/>
    <x v="5"/>
    <s v="Online"/>
    <n v="10"/>
    <n v="2299.31"/>
    <n v="0"/>
    <x v="550"/>
  </r>
  <r>
    <n v="10404"/>
    <d v="2025-01-09T00:00:00"/>
    <x v="7"/>
    <x v="2"/>
    <x v="3"/>
    <x v="2"/>
    <s v="Wholesale"/>
    <n v="10"/>
    <n v="2374.2199999999998"/>
    <n v="5"/>
    <x v="551"/>
  </r>
  <r>
    <n v="10263"/>
    <d v="2025-09-21T00:00:00"/>
    <x v="7"/>
    <x v="2"/>
    <x v="0"/>
    <x v="0"/>
    <s v="Wholesale"/>
    <n v="10"/>
    <n v="2379.84"/>
    <n v="5"/>
    <x v="552"/>
  </r>
  <r>
    <n v="10622"/>
    <d v="2025-12-04T00:00:00"/>
    <x v="6"/>
    <x v="1"/>
    <x v="1"/>
    <x v="3"/>
    <s v="Online"/>
    <n v="10"/>
    <n v="2399.9699999999998"/>
    <n v="0"/>
    <x v="553"/>
  </r>
  <r>
    <n v="10035"/>
    <d v="2025-05-27T00:00:00"/>
    <x v="7"/>
    <x v="2"/>
    <x v="0"/>
    <x v="3"/>
    <s v="Online"/>
    <n v="10"/>
    <n v="2412.73"/>
    <n v="0"/>
    <x v="554"/>
  </r>
  <r>
    <n v="10603"/>
    <d v="2025-07-15T00:00:00"/>
    <x v="7"/>
    <x v="2"/>
    <x v="0"/>
    <x v="3"/>
    <s v="Retail"/>
    <n v="10"/>
    <n v="2413.12"/>
    <n v="0"/>
    <x v="555"/>
  </r>
  <r>
    <n v="10437"/>
    <d v="2025-06-05T00:00:00"/>
    <x v="6"/>
    <x v="1"/>
    <x v="1"/>
    <x v="0"/>
    <s v="Wholesale"/>
    <n v="10"/>
    <n v="2413.44"/>
    <n v="20"/>
    <x v="556"/>
  </r>
  <r>
    <n v="10387"/>
    <d v="2025-03-11T00:00:00"/>
    <x v="7"/>
    <x v="2"/>
    <x v="1"/>
    <x v="0"/>
    <s v="Online"/>
    <n v="10"/>
    <n v="2476.29"/>
    <n v="5"/>
    <x v="557"/>
  </r>
  <r>
    <n v="10183"/>
    <d v="2025-12-05T00:00:00"/>
    <x v="7"/>
    <x v="2"/>
    <x v="0"/>
    <x v="0"/>
    <s v="Online"/>
    <n v="10"/>
    <n v="2477.5500000000002"/>
    <n v="0"/>
    <x v="558"/>
  </r>
  <r>
    <n v="10231"/>
    <d v="2025-06-08T00:00:00"/>
    <x v="11"/>
    <x v="3"/>
    <x v="0"/>
    <x v="1"/>
    <s v="Wholesale"/>
    <n v="2"/>
    <n v="12396.65"/>
    <n v="15"/>
    <x v="559"/>
  </r>
  <r>
    <n v="10095"/>
    <d v="2025-10-12T00:00:00"/>
    <x v="7"/>
    <x v="2"/>
    <x v="1"/>
    <x v="3"/>
    <s v="Wholesale"/>
    <n v="10"/>
    <n v="2486.0500000000002"/>
    <n v="0"/>
    <x v="560"/>
  </r>
  <r>
    <n v="10025"/>
    <d v="2025-08-13T00:00:00"/>
    <x v="11"/>
    <x v="3"/>
    <x v="0"/>
    <x v="4"/>
    <s v="Retail"/>
    <n v="2"/>
    <n v="12432.28"/>
    <n v="0"/>
    <x v="561"/>
  </r>
  <r>
    <n v="10213"/>
    <d v="2025-04-10T00:00:00"/>
    <x v="7"/>
    <x v="2"/>
    <x v="2"/>
    <x v="3"/>
    <s v="Online"/>
    <n v="10"/>
    <n v="2489.42"/>
    <n v="0"/>
    <x v="562"/>
  </r>
  <r>
    <n v="10619"/>
    <d v="2025-07-20T00:00:00"/>
    <x v="11"/>
    <x v="3"/>
    <x v="1"/>
    <x v="1"/>
    <s v="Online"/>
    <n v="2"/>
    <n v="12523.08"/>
    <n v="10"/>
    <x v="563"/>
  </r>
  <r>
    <n v="10359"/>
    <d v="2025-02-09T00:00:00"/>
    <x v="7"/>
    <x v="2"/>
    <x v="2"/>
    <x v="5"/>
    <s v="Retail"/>
    <n v="10"/>
    <n v="2522.44"/>
    <n v="0"/>
    <x v="564"/>
  </r>
  <r>
    <n v="10220"/>
    <d v="2025-12-23T00:00:00"/>
    <x v="7"/>
    <x v="2"/>
    <x v="1"/>
    <x v="3"/>
    <s v="Wholesale"/>
    <n v="10"/>
    <n v="2527.83"/>
    <n v="0"/>
    <x v="565"/>
  </r>
  <r>
    <n v="10535"/>
    <d v="2025-04-07T00:00:00"/>
    <x v="11"/>
    <x v="3"/>
    <x v="1"/>
    <x v="0"/>
    <s v="Retail"/>
    <n v="2"/>
    <n v="12640.65"/>
    <n v="0"/>
    <x v="566"/>
  </r>
  <r>
    <n v="10072"/>
    <d v="2025-05-13T00:00:00"/>
    <x v="7"/>
    <x v="2"/>
    <x v="1"/>
    <x v="3"/>
    <s v="Wholesale"/>
    <n v="10"/>
    <n v="2530.67"/>
    <n v="0"/>
    <x v="567"/>
  </r>
  <r>
    <n v="10336"/>
    <d v="2025-07-11T00:00:00"/>
    <x v="7"/>
    <x v="2"/>
    <x v="3"/>
    <x v="1"/>
    <s v="Online"/>
    <n v="10"/>
    <n v="2538.81"/>
    <n v="0"/>
    <x v="568"/>
  </r>
  <r>
    <n v="10093"/>
    <d v="2025-04-04T00:00:00"/>
    <x v="11"/>
    <x v="3"/>
    <x v="0"/>
    <x v="2"/>
    <s v="Wholesale"/>
    <n v="2"/>
    <n v="12791.46"/>
    <n v="10"/>
    <x v="569"/>
  </r>
  <r>
    <n v="10297"/>
    <d v="2025-05-08T00:00:00"/>
    <x v="11"/>
    <x v="3"/>
    <x v="3"/>
    <x v="5"/>
    <s v="Wholesale"/>
    <n v="2"/>
    <n v="12929.76"/>
    <n v="0"/>
    <x v="570"/>
  </r>
  <r>
    <n v="10555"/>
    <d v="2025-09-23T00:00:00"/>
    <x v="11"/>
    <x v="3"/>
    <x v="3"/>
    <x v="0"/>
    <s v="Online"/>
    <n v="2"/>
    <n v="12975.51"/>
    <n v="15"/>
    <x v="571"/>
  </r>
  <r>
    <n v="10602"/>
    <d v="2025-09-15T00:00:00"/>
    <x v="11"/>
    <x v="3"/>
    <x v="3"/>
    <x v="5"/>
    <s v="Online"/>
    <n v="2"/>
    <n v="13137.52"/>
    <n v="0"/>
    <x v="572"/>
  </r>
  <r>
    <n v="10168"/>
    <d v="2025-11-08T00:00:00"/>
    <x v="11"/>
    <x v="3"/>
    <x v="1"/>
    <x v="4"/>
    <s v="Retail"/>
    <n v="2"/>
    <n v="13160.6"/>
    <n v="10"/>
    <x v="573"/>
  </r>
  <r>
    <n v="10398"/>
    <d v="2025-05-07T00:00:00"/>
    <x v="11"/>
    <x v="3"/>
    <x v="0"/>
    <x v="0"/>
    <s v="Retail"/>
    <n v="2"/>
    <n v="13165.14"/>
    <n v="5"/>
    <x v="574"/>
  </r>
  <r>
    <n v="10514"/>
    <d v="2025-08-24T00:00:00"/>
    <x v="11"/>
    <x v="3"/>
    <x v="2"/>
    <x v="2"/>
    <s v="Wholesale"/>
    <n v="2"/>
    <n v="13229.34"/>
    <n v="20"/>
    <x v="575"/>
  </r>
  <r>
    <n v="10573"/>
    <d v="2025-12-31T00:00:00"/>
    <x v="11"/>
    <x v="3"/>
    <x v="1"/>
    <x v="2"/>
    <s v="Retail"/>
    <n v="2"/>
    <n v="13241.58"/>
    <n v="15"/>
    <x v="576"/>
  </r>
  <r>
    <n v="10009"/>
    <d v="2025-03-25T00:00:00"/>
    <x v="11"/>
    <x v="3"/>
    <x v="2"/>
    <x v="5"/>
    <s v="Retail"/>
    <n v="2"/>
    <n v="13261.35"/>
    <n v="15"/>
    <x v="577"/>
  </r>
  <r>
    <n v="10579"/>
    <d v="2025-08-20T00:00:00"/>
    <x v="11"/>
    <x v="3"/>
    <x v="3"/>
    <x v="1"/>
    <s v="Online"/>
    <n v="2"/>
    <n v="13314.11"/>
    <n v="10"/>
    <x v="578"/>
  </r>
  <r>
    <n v="10349"/>
    <d v="2025-11-06T00:00:00"/>
    <x v="11"/>
    <x v="3"/>
    <x v="0"/>
    <x v="5"/>
    <s v="Retail"/>
    <n v="2"/>
    <n v="13367.58"/>
    <n v="5"/>
    <x v="579"/>
  </r>
  <r>
    <n v="10273"/>
    <d v="2025-06-19T00:00:00"/>
    <x v="11"/>
    <x v="3"/>
    <x v="3"/>
    <x v="0"/>
    <s v="Online"/>
    <n v="2"/>
    <n v="13384.75"/>
    <n v="15"/>
    <x v="580"/>
  </r>
  <r>
    <n v="10449"/>
    <d v="2025-07-22T00:00:00"/>
    <x v="11"/>
    <x v="3"/>
    <x v="3"/>
    <x v="3"/>
    <s v="Wholesale"/>
    <n v="2"/>
    <n v="13415.08"/>
    <n v="0"/>
    <x v="581"/>
  </r>
  <r>
    <n v="10081"/>
    <d v="2025-06-22T00:00:00"/>
    <x v="11"/>
    <x v="3"/>
    <x v="0"/>
    <x v="6"/>
    <s v="Wholesale"/>
    <n v="2"/>
    <n v="13434.35"/>
    <n v="5"/>
    <x v="582"/>
  </r>
  <r>
    <n v="10594"/>
    <d v="2025-09-21T00:00:00"/>
    <x v="11"/>
    <x v="3"/>
    <x v="0"/>
    <x v="0"/>
    <s v="Retail"/>
    <n v="2"/>
    <n v="13516.73"/>
    <n v="0"/>
    <x v="583"/>
  </r>
  <r>
    <n v="10452"/>
    <d v="2025-12-18T00:00:00"/>
    <x v="11"/>
    <x v="3"/>
    <x v="3"/>
    <x v="1"/>
    <s v="Online"/>
    <n v="2"/>
    <n v="13541.62"/>
    <n v="0"/>
    <x v="584"/>
  </r>
  <r>
    <n v="10382"/>
    <d v="2025-08-23T00:00:00"/>
    <x v="11"/>
    <x v="3"/>
    <x v="1"/>
    <x v="3"/>
    <s v="Online"/>
    <n v="2"/>
    <n v="13543.25"/>
    <n v="10"/>
    <x v="585"/>
  </r>
  <r>
    <n v="10114"/>
    <d v="2025-11-06T00:00:00"/>
    <x v="11"/>
    <x v="3"/>
    <x v="2"/>
    <x v="4"/>
    <s v="Retail"/>
    <n v="2"/>
    <n v="13599.44"/>
    <n v="20"/>
    <x v="586"/>
  </r>
  <r>
    <n v="10391"/>
    <d v="2025-10-05T00:00:00"/>
    <x v="11"/>
    <x v="3"/>
    <x v="3"/>
    <x v="3"/>
    <s v="Wholesale"/>
    <n v="2"/>
    <n v="13635.66"/>
    <n v="0"/>
    <x v="587"/>
  </r>
  <r>
    <n v="10455"/>
    <d v="2025-07-22T00:00:00"/>
    <x v="9"/>
    <x v="3"/>
    <x v="0"/>
    <x v="4"/>
    <s v="Wholesale"/>
    <n v="5"/>
    <n v="5802.72"/>
    <n v="0"/>
    <x v="588"/>
  </r>
  <r>
    <n v="10348"/>
    <d v="2025-02-10T00:00:00"/>
    <x v="9"/>
    <x v="3"/>
    <x v="2"/>
    <x v="4"/>
    <s v="Retail"/>
    <n v="5"/>
    <n v="5838.31"/>
    <n v="0"/>
    <x v="589"/>
  </r>
  <r>
    <n v="10553"/>
    <d v="2025-03-08T00:00:00"/>
    <x v="9"/>
    <x v="3"/>
    <x v="0"/>
    <x v="0"/>
    <s v="Retail"/>
    <n v="5"/>
    <n v="5963.42"/>
    <n v="0"/>
    <x v="590"/>
  </r>
  <r>
    <n v="10207"/>
    <d v="2025-12-17T00:00:00"/>
    <x v="9"/>
    <x v="3"/>
    <x v="3"/>
    <x v="3"/>
    <s v="Online"/>
    <n v="5"/>
    <n v="6004.09"/>
    <n v="0"/>
    <x v="591"/>
  </r>
  <r>
    <n v="10649"/>
    <d v="2025-03-24T00:00:00"/>
    <x v="9"/>
    <x v="3"/>
    <x v="3"/>
    <x v="2"/>
    <s v="Online"/>
    <n v="5"/>
    <n v="6170.62"/>
    <n v="20"/>
    <x v="592"/>
  </r>
  <r>
    <n v="10510"/>
    <d v="2025-12-19T00:00:00"/>
    <x v="10"/>
    <x v="3"/>
    <x v="3"/>
    <x v="5"/>
    <s v="Retail"/>
    <n v="5"/>
    <n v="6206.32"/>
    <n v="20"/>
    <x v="593"/>
  </r>
  <r>
    <n v="10142"/>
    <d v="2025-05-09T00:00:00"/>
    <x v="9"/>
    <x v="3"/>
    <x v="0"/>
    <x v="5"/>
    <s v="Retail"/>
    <n v="5"/>
    <n v="6210.97"/>
    <n v="0"/>
    <x v="594"/>
  </r>
  <r>
    <n v="10006"/>
    <d v="2025-01-23T00:00:00"/>
    <x v="10"/>
    <x v="3"/>
    <x v="0"/>
    <x v="1"/>
    <s v="Retail"/>
    <n v="5"/>
    <n v="6225.26"/>
    <n v="0"/>
    <x v="595"/>
  </r>
  <r>
    <n v="10362"/>
    <d v="2025-04-13T00:00:00"/>
    <x v="9"/>
    <x v="3"/>
    <x v="0"/>
    <x v="5"/>
    <s v="Retail"/>
    <n v="5"/>
    <n v="6280.19"/>
    <n v="0"/>
    <x v="596"/>
  </r>
  <r>
    <n v="10024"/>
    <d v="2025-12-20T00:00:00"/>
    <x v="9"/>
    <x v="3"/>
    <x v="1"/>
    <x v="3"/>
    <s v="Wholesale"/>
    <n v="5"/>
    <n v="6296.04"/>
    <n v="15"/>
    <x v="597"/>
  </r>
  <r>
    <n v="10358"/>
    <d v="2025-09-10T00:00:00"/>
    <x v="10"/>
    <x v="3"/>
    <x v="1"/>
    <x v="4"/>
    <s v="Retail"/>
    <n v="5"/>
    <n v="6353.4"/>
    <n v="0"/>
    <x v="598"/>
  </r>
  <r>
    <n v="10488"/>
    <d v="2025-02-16T00:00:00"/>
    <x v="10"/>
    <x v="3"/>
    <x v="0"/>
    <x v="2"/>
    <s v="Wholesale"/>
    <n v="5"/>
    <n v="6414.12"/>
    <n v="5"/>
    <x v="599"/>
  </r>
  <r>
    <n v="10558"/>
    <d v="2025-01-26T00:00:00"/>
    <x v="10"/>
    <x v="3"/>
    <x v="1"/>
    <x v="1"/>
    <s v="Online"/>
    <n v="5"/>
    <n v="6436.14"/>
    <n v="0"/>
    <x v="600"/>
  </r>
  <r>
    <n v="10487"/>
    <d v="2025-02-11T00:00:00"/>
    <x v="10"/>
    <x v="3"/>
    <x v="0"/>
    <x v="4"/>
    <s v="Wholesale"/>
    <n v="5"/>
    <n v="6480.12"/>
    <n v="15"/>
    <x v="601"/>
  </r>
  <r>
    <n v="10440"/>
    <d v="2025-02-23T00:00:00"/>
    <x v="10"/>
    <x v="3"/>
    <x v="1"/>
    <x v="1"/>
    <s v="Retail"/>
    <n v="5"/>
    <n v="6493.82"/>
    <n v="0"/>
    <x v="602"/>
  </r>
  <r>
    <n v="10172"/>
    <d v="2025-05-11T00:00:00"/>
    <x v="8"/>
    <x v="1"/>
    <x v="2"/>
    <x v="2"/>
    <s v="Online"/>
    <n v="10"/>
    <n v="3347.54"/>
    <n v="20"/>
    <x v="603"/>
  </r>
  <r>
    <n v="10544"/>
    <d v="2025-02-15T00:00:00"/>
    <x v="8"/>
    <x v="1"/>
    <x v="3"/>
    <x v="1"/>
    <s v="Online"/>
    <n v="10"/>
    <n v="3376.24"/>
    <n v="0"/>
    <x v="604"/>
  </r>
  <r>
    <n v="10591"/>
    <d v="2025-01-05T00:00:00"/>
    <x v="8"/>
    <x v="1"/>
    <x v="3"/>
    <x v="3"/>
    <s v="Wholesale"/>
    <n v="10"/>
    <n v="3408.15"/>
    <n v="15"/>
    <x v="605"/>
  </r>
  <r>
    <n v="10028"/>
    <d v="2025-09-06T00:00:00"/>
    <x v="8"/>
    <x v="1"/>
    <x v="1"/>
    <x v="1"/>
    <s v="Retail"/>
    <n v="10"/>
    <n v="3409.07"/>
    <n v="5"/>
    <x v="606"/>
  </r>
  <r>
    <n v="10128"/>
    <d v="2025-09-08T00:00:00"/>
    <x v="8"/>
    <x v="1"/>
    <x v="1"/>
    <x v="0"/>
    <s v="Online"/>
    <n v="10"/>
    <n v="3444.81"/>
    <n v="10"/>
    <x v="607"/>
  </r>
  <r>
    <n v="10328"/>
    <d v="2025-07-03T00:00:00"/>
    <x v="8"/>
    <x v="1"/>
    <x v="2"/>
    <x v="5"/>
    <s v="Wholesale"/>
    <n v="10"/>
    <n v="3487.1"/>
    <n v="20"/>
    <x v="608"/>
  </r>
  <r>
    <n v="10016"/>
    <d v="2025-08-05T00:00:00"/>
    <x v="8"/>
    <x v="1"/>
    <x v="3"/>
    <x v="0"/>
    <s v="Wholesale"/>
    <n v="10"/>
    <n v="3509.19"/>
    <n v="10"/>
    <x v="609"/>
  </r>
  <r>
    <n v="10634"/>
    <d v="2025-01-10T00:00:00"/>
    <x v="8"/>
    <x v="1"/>
    <x v="2"/>
    <x v="4"/>
    <s v="Retail"/>
    <n v="10"/>
    <n v="3536.27"/>
    <n v="5"/>
    <x v="610"/>
  </r>
  <r>
    <n v="10195"/>
    <d v="2025-09-10T00:00:00"/>
    <x v="8"/>
    <x v="1"/>
    <x v="0"/>
    <x v="1"/>
    <s v="Online"/>
    <n v="10"/>
    <n v="3562.38"/>
    <n v="10"/>
    <x v="611"/>
  </r>
  <r>
    <n v="10203"/>
    <d v="2025-12-14T00:00:00"/>
    <x v="11"/>
    <x v="3"/>
    <x v="3"/>
    <x v="3"/>
    <s v="Online"/>
    <n v="3"/>
    <n v="12434.73"/>
    <n v="0"/>
    <x v="612"/>
  </r>
  <r>
    <n v="10152"/>
    <d v="2025-12-11T00:00:00"/>
    <x v="11"/>
    <x v="3"/>
    <x v="2"/>
    <x v="1"/>
    <s v="Wholesale"/>
    <n v="3"/>
    <n v="12489.89"/>
    <n v="0"/>
    <x v="613"/>
  </r>
  <r>
    <n v="10012"/>
    <d v="2025-07-25T00:00:00"/>
    <x v="11"/>
    <x v="3"/>
    <x v="2"/>
    <x v="4"/>
    <s v="Retail"/>
    <n v="3"/>
    <n v="12625.44"/>
    <n v="5"/>
    <x v="614"/>
  </r>
  <r>
    <n v="10097"/>
    <d v="2025-08-31T00:00:00"/>
    <x v="11"/>
    <x v="3"/>
    <x v="2"/>
    <x v="0"/>
    <s v="Online"/>
    <n v="3"/>
    <n v="12806.37"/>
    <n v="5"/>
    <x v="615"/>
  </r>
  <r>
    <n v="10241"/>
    <d v="2025-08-16T00:00:00"/>
    <x v="11"/>
    <x v="3"/>
    <x v="3"/>
    <x v="1"/>
    <s v="Retail"/>
    <n v="3"/>
    <n v="12866.45"/>
    <n v="15"/>
    <x v="616"/>
  </r>
  <r>
    <n v="10476"/>
    <d v="2025-06-13T00:00:00"/>
    <x v="11"/>
    <x v="3"/>
    <x v="1"/>
    <x v="3"/>
    <s v="Retail"/>
    <n v="3"/>
    <n v="12929.62"/>
    <n v="0"/>
    <x v="617"/>
  </r>
  <r>
    <n v="10298"/>
    <d v="2025-06-04T00:00:00"/>
    <x v="11"/>
    <x v="3"/>
    <x v="3"/>
    <x v="5"/>
    <s v="Online"/>
    <n v="3"/>
    <n v="13249.58"/>
    <n v="0"/>
    <x v="618"/>
  </r>
  <r>
    <n v="10181"/>
    <d v="2025-03-22T00:00:00"/>
    <x v="11"/>
    <x v="3"/>
    <x v="2"/>
    <x v="5"/>
    <s v="Online"/>
    <n v="3"/>
    <n v="13358.86"/>
    <n v="10"/>
    <x v="619"/>
  </r>
  <r>
    <n v="10005"/>
    <d v="2025-02-22T00:00:00"/>
    <x v="11"/>
    <x v="3"/>
    <x v="3"/>
    <x v="0"/>
    <s v="Retail"/>
    <n v="3"/>
    <n v="13450.71"/>
    <n v="10"/>
    <x v="620"/>
  </r>
  <r>
    <n v="10392"/>
    <d v="2025-12-01T00:00:00"/>
    <x v="9"/>
    <x v="3"/>
    <x v="1"/>
    <x v="5"/>
    <s v="Retail"/>
    <n v="10"/>
    <n v="5856.71"/>
    <n v="20"/>
    <x v="621"/>
  </r>
  <r>
    <n v="10258"/>
    <d v="2025-01-31T00:00:00"/>
    <x v="9"/>
    <x v="3"/>
    <x v="1"/>
    <x v="0"/>
    <s v="Wholesale"/>
    <n v="10"/>
    <n v="5977.67"/>
    <n v="0"/>
    <x v="622"/>
  </r>
  <r>
    <n v="10551"/>
    <d v="2025-01-31T00:00:00"/>
    <x v="9"/>
    <x v="3"/>
    <x v="1"/>
    <x v="4"/>
    <s v="Wholesale"/>
    <n v="10"/>
    <n v="6180.33"/>
    <n v="15"/>
    <x v="623"/>
  </r>
  <r>
    <n v="10305"/>
    <d v="2025-10-26T00:00:00"/>
    <x v="9"/>
    <x v="3"/>
    <x v="0"/>
    <x v="4"/>
    <s v="Online"/>
    <n v="10"/>
    <n v="6184.18"/>
    <n v="5"/>
    <x v="624"/>
  </r>
  <r>
    <n v="10505"/>
    <d v="2025-01-29T00:00:00"/>
    <x v="11"/>
    <x v="3"/>
    <x v="1"/>
    <x v="4"/>
    <s v="Wholesale"/>
    <n v="5"/>
    <n v="12525.38"/>
    <n v="20"/>
    <x v="625"/>
  </r>
  <r>
    <n v="10236"/>
    <d v="2025-12-05T00:00:00"/>
    <x v="11"/>
    <x v="3"/>
    <x v="2"/>
    <x v="5"/>
    <s v="Wholesale"/>
    <n v="5"/>
    <n v="12565.67"/>
    <n v="5"/>
    <x v="626"/>
  </r>
  <r>
    <n v="10125"/>
    <d v="2025-09-18T00:00:00"/>
    <x v="10"/>
    <x v="3"/>
    <x v="2"/>
    <x v="0"/>
    <s v="Wholesale"/>
    <n v="10"/>
    <n v="6332.45"/>
    <n v="10"/>
    <x v="627"/>
  </r>
  <r>
    <n v="10237"/>
    <d v="2025-08-17T00:00:00"/>
    <x v="11"/>
    <x v="3"/>
    <x v="3"/>
    <x v="3"/>
    <s v="Wholesale"/>
    <n v="5"/>
    <n v="12705.94"/>
    <n v="20"/>
    <x v="628"/>
  </r>
  <r>
    <n v="10233"/>
    <d v="2025-08-12T00:00:00"/>
    <x v="11"/>
    <x v="3"/>
    <x v="0"/>
    <x v="3"/>
    <s v="Wholesale"/>
    <n v="5"/>
    <n v="12789.76"/>
    <n v="0"/>
    <x v="629"/>
  </r>
  <r>
    <n v="10384"/>
    <d v="2025-12-22T00:00:00"/>
    <x v="11"/>
    <x v="3"/>
    <x v="1"/>
    <x v="1"/>
    <s v="Wholesale"/>
    <n v="5"/>
    <n v="13124.34"/>
    <n v="10"/>
    <x v="630"/>
  </r>
  <r>
    <n v="10645"/>
    <d v="2025-07-29T00:00:00"/>
    <x v="11"/>
    <x v="3"/>
    <x v="2"/>
    <x v="4"/>
    <s v="Retail"/>
    <n v="5"/>
    <n v="13196.03"/>
    <n v="0"/>
    <x v="631"/>
  </r>
  <r>
    <n v="10575"/>
    <d v="2025-10-15T00:00:00"/>
    <x v="11"/>
    <x v="3"/>
    <x v="0"/>
    <x v="1"/>
    <s v="Online"/>
    <n v="5"/>
    <n v="13225.5"/>
    <n v="20"/>
    <x v="632"/>
  </r>
  <r>
    <n v="10112"/>
    <d v="2025-11-01T00:00:00"/>
    <x v="10"/>
    <x v="3"/>
    <x v="2"/>
    <x v="0"/>
    <s v="Retail"/>
    <n v="10"/>
    <n v="6621.62"/>
    <n v="15"/>
    <x v="633"/>
  </r>
  <r>
    <n v="10356"/>
    <d v="2025-07-17T00:00:00"/>
    <x v="11"/>
    <x v="3"/>
    <x v="3"/>
    <x v="5"/>
    <s v="Wholesale"/>
    <n v="5"/>
    <n v="13361.89"/>
    <n v="15"/>
    <x v="634"/>
  </r>
  <r>
    <n v="10439"/>
    <d v="2025-11-22T00:00:00"/>
    <x v="11"/>
    <x v="3"/>
    <x v="3"/>
    <x v="5"/>
    <s v="Retail"/>
    <n v="5"/>
    <n v="13452.67"/>
    <n v="15"/>
    <x v="635"/>
  </r>
  <r>
    <n v="10140"/>
    <d v="2025-08-24T00:00:00"/>
    <x v="10"/>
    <x v="3"/>
    <x v="2"/>
    <x v="3"/>
    <s v="Retail"/>
    <n v="10"/>
    <n v="6759.75"/>
    <n v="15"/>
    <x v="636"/>
  </r>
  <r>
    <n v="10260"/>
    <d v="2025-09-21T00:00:00"/>
    <x v="11"/>
    <x v="3"/>
    <x v="3"/>
    <x v="5"/>
    <s v="Retail"/>
    <n v="10"/>
    <n v="12508.32"/>
    <n v="5"/>
    <x v="637"/>
  </r>
  <r>
    <n v="10333"/>
    <d v="2025-03-28T00:00:00"/>
    <x v="11"/>
    <x v="3"/>
    <x v="1"/>
    <x v="3"/>
    <s v="Online"/>
    <n v="10"/>
    <n v="12588.29"/>
    <n v="10"/>
    <x v="638"/>
  </r>
  <r>
    <n v="10208"/>
    <d v="2025-06-08T00:00:00"/>
    <x v="11"/>
    <x v="3"/>
    <x v="1"/>
    <x v="2"/>
    <s v="Wholesale"/>
    <n v="10"/>
    <n v="12598.64"/>
    <n v="0"/>
    <x v="639"/>
  </r>
  <r>
    <n v="10353"/>
    <d v="2025-02-24T00:00:00"/>
    <x v="11"/>
    <x v="3"/>
    <x v="3"/>
    <x v="4"/>
    <s v="Wholesale"/>
    <n v="10"/>
    <n v="12816.91"/>
    <n v="0"/>
    <x v="640"/>
  </r>
  <r>
    <n v="10332"/>
    <d v="2025-05-12T00:00:00"/>
    <x v="11"/>
    <x v="3"/>
    <x v="0"/>
    <x v="3"/>
    <s v="Online"/>
    <n v="10"/>
    <n v="12948.08"/>
    <n v="15"/>
    <x v="641"/>
  </r>
  <r>
    <n v="10331"/>
    <d v="2025-04-28T00:00:00"/>
    <x v="11"/>
    <x v="3"/>
    <x v="0"/>
    <x v="1"/>
    <s v="Retail"/>
    <n v="10"/>
    <n v="13064.83"/>
    <n v="15"/>
    <x v="642"/>
  </r>
  <r>
    <n v="10134"/>
    <d v="2025-12-12T00:00:00"/>
    <x v="11"/>
    <x v="3"/>
    <x v="0"/>
    <x v="5"/>
    <s v="Online"/>
    <n v="10"/>
    <n v="13483.06"/>
    <n v="0"/>
    <x v="643"/>
  </r>
  <r>
    <n v="10292"/>
    <d v="2025-05-26T00:00:00"/>
    <x v="11"/>
    <x v="3"/>
    <x v="0"/>
    <x v="3"/>
    <s v="Online"/>
    <n v="10"/>
    <n v="13505"/>
    <n v="0"/>
    <x v="644"/>
  </r>
  <r>
    <n v="10590"/>
    <d v="2025-06-19T00:00:00"/>
    <x v="11"/>
    <x v="3"/>
    <x v="2"/>
    <x v="5"/>
    <s v="Retail"/>
    <n v="10"/>
    <n v="13644.57"/>
    <n v="20"/>
    <x v="645"/>
  </r>
  <r>
    <m/>
    <m/>
    <x v="12"/>
    <x v="4"/>
    <x v="4"/>
    <x v="7"/>
    <m/>
    <m/>
    <m/>
    <m/>
    <x v="6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84D28-DE09-4E10-A05A-7E6874ACDC6C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venue by Region">
  <location ref="A3:B9" firstHeaderRow="1" firstDataRow="1" firstDataCol="1"/>
  <pivotFields count="11">
    <pivotField showAll="0"/>
    <pivotField showAll="0"/>
    <pivotField axis="axisRow" showAll="0">
      <items count="14">
        <item x="5"/>
        <item x="6"/>
        <item x="9"/>
        <item x="4"/>
        <item x="3"/>
        <item x="0"/>
        <item x="10"/>
        <item x="11"/>
        <item x="1"/>
        <item x="8"/>
        <item x="7"/>
        <item x="2"/>
        <item x="12"/>
        <item t="default"/>
      </items>
    </pivotField>
    <pivotField showAll="0"/>
    <pivotField axis="axisRow" showAll="0">
      <items count="6">
        <item sd="0" x="2"/>
        <item sd="0" x="3"/>
        <item sd="0" x="1"/>
        <item sd="0" x="0"/>
        <item sd="0"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4"/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936E1-F238-4620-A5FF-F719EB8A0FD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venue by Product Category">
  <location ref="A3:B22" firstHeaderRow="1" firstDataRow="1" firstDataCol="1"/>
  <pivotFields count="11">
    <pivotField showAll="0"/>
    <pivotField showAll="0"/>
    <pivotField axis="axisRow" showAll="0">
      <items count="14">
        <item x="5"/>
        <item x="6"/>
        <item x="9"/>
        <item x="4"/>
        <item x="3"/>
        <item x="0"/>
        <item x="10"/>
        <item x="11"/>
        <item x="1"/>
        <item x="8"/>
        <item x="7"/>
        <item x="2"/>
        <item x="12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t="default"/>
      </items>
    </pivotField>
  </pivotFields>
  <rowFields count="2">
    <field x="3"/>
    <field x="2"/>
  </rowFields>
  <rowItems count="19">
    <i>
      <x/>
    </i>
    <i r="1">
      <x/>
    </i>
    <i r="1">
      <x v="1"/>
    </i>
    <i r="1">
      <x v="8"/>
    </i>
    <i r="1">
      <x v="9"/>
    </i>
    <i r="1">
      <x v="11"/>
    </i>
    <i>
      <x v="1"/>
    </i>
    <i r="1">
      <x v="2"/>
    </i>
    <i r="1">
      <x v="6"/>
    </i>
    <i r="1">
      <x v="7"/>
    </i>
    <i>
      <x v="2"/>
    </i>
    <i r="1">
      <x v="3"/>
    </i>
    <i r="1">
      <x v="4"/>
    </i>
    <i r="1">
      <x v="10"/>
    </i>
    <i>
      <x v="3"/>
    </i>
    <i r="1">
      <x v="5"/>
    </i>
    <i>
      <x v="4"/>
    </i>
    <i r="1">
      <x v="12"/>
    </i>
    <i t="grand">
      <x/>
    </i>
  </rowItems>
  <colItems count="1">
    <i/>
  </colItems>
  <dataFields count="1">
    <dataField name="Sum of Revenue" fld="10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0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2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58BE9-CABF-4853-A667-80B577F0DC9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venue by Sales Rep">
  <location ref="A3:B12" firstHeaderRow="1" firstDataRow="1" firstDataCol="1"/>
  <pivotFields count="11">
    <pivotField showAll="0"/>
    <pivotField showAll="0"/>
    <pivotField axis="axisRow" showAll="0">
      <items count="14">
        <item x="5"/>
        <item x="6"/>
        <item x="9"/>
        <item x="4"/>
        <item x="3"/>
        <item x="0"/>
        <item x="10"/>
        <item x="11"/>
        <item x="1"/>
        <item x="8"/>
        <item x="7"/>
        <item x="2"/>
        <item x="12"/>
        <item t="default"/>
      </items>
    </pivotField>
    <pivotField showAll="0"/>
    <pivotField showAll="0"/>
    <pivotField axis="axisRow" showAll="0">
      <items count="9">
        <item sd="0" x="4"/>
        <item sd="0" x="3"/>
        <item sd="0" x="5"/>
        <item sd="0" x="0"/>
        <item sd="0" x="1"/>
        <item sd="0" x="6"/>
        <item sd="0" x="2"/>
        <item sd="0" x="7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5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AE35-D176-45E2-8515-B5E15CEC16F6}">
  <dimension ref="A3:B9"/>
  <sheetViews>
    <sheetView tabSelected="1" workbookViewId="0">
      <selection activeCell="J23" sqref="J23"/>
    </sheetView>
  </sheetViews>
  <sheetFormatPr defaultRowHeight="14.4"/>
  <cols>
    <col min="1" max="1" width="19.5546875" bestFit="1" customWidth="1"/>
    <col min="2" max="2" width="14.88671875" bestFit="1" customWidth="1"/>
  </cols>
  <sheetData>
    <row r="3" spans="1:2">
      <c r="A3" s="2" t="s">
        <v>50</v>
      </c>
      <c r="B3" t="s">
        <v>49</v>
      </c>
    </row>
    <row r="4" spans="1:2">
      <c r="A4" s="3" t="s">
        <v>13</v>
      </c>
      <c r="B4" s="4">
        <v>1554298.69</v>
      </c>
    </row>
    <row r="5" spans="1:2">
      <c r="A5" s="3" t="s">
        <v>24</v>
      </c>
      <c r="B5" s="4">
        <v>1753033.0799999996</v>
      </c>
    </row>
    <row r="6" spans="1:2">
      <c r="A6" s="3" t="s">
        <v>18</v>
      </c>
      <c r="B6" s="4">
        <v>1876148.04</v>
      </c>
    </row>
    <row r="7" spans="1:2">
      <c r="A7" s="3" t="s">
        <v>27</v>
      </c>
      <c r="B7" s="4">
        <v>1812534.4600000004</v>
      </c>
    </row>
    <row r="8" spans="1:2">
      <c r="A8" s="3" t="s">
        <v>47</v>
      </c>
      <c r="B8" s="4"/>
    </row>
    <row r="9" spans="1:2">
      <c r="A9" s="3" t="s">
        <v>48</v>
      </c>
      <c r="B9" s="4">
        <v>6996014.2699999996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5F46-09F4-4F3F-B7F0-C1BB061AEB59}">
  <dimension ref="A3:B22"/>
  <sheetViews>
    <sheetView workbookViewId="0">
      <selection activeCell="F24" sqref="F24"/>
    </sheetView>
  </sheetViews>
  <sheetFormatPr defaultRowHeight="14.4"/>
  <cols>
    <col min="1" max="1" width="29.109375" customWidth="1"/>
    <col min="2" max="2" width="14.88671875" bestFit="1" customWidth="1"/>
  </cols>
  <sheetData>
    <row r="3" spans="1:2">
      <c r="A3" s="2" t="s">
        <v>51</v>
      </c>
      <c r="B3" t="s">
        <v>49</v>
      </c>
    </row>
    <row r="4" spans="1:2">
      <c r="A4" s="3" t="s">
        <v>12</v>
      </c>
      <c r="B4" s="4">
        <v>1410088.73</v>
      </c>
    </row>
    <row r="5" spans="1:2">
      <c r="A5" s="5" t="s">
        <v>36</v>
      </c>
      <c r="B5" s="4">
        <v>270561.93</v>
      </c>
    </row>
    <row r="6" spans="1:2">
      <c r="A6" s="5" t="s">
        <v>38</v>
      </c>
      <c r="B6" s="4">
        <v>344981.32</v>
      </c>
    </row>
    <row r="7" spans="1:2">
      <c r="A7" s="5" t="s">
        <v>11</v>
      </c>
      <c r="B7" s="4">
        <v>35448.01</v>
      </c>
    </row>
    <row r="8" spans="1:2">
      <c r="A8" s="5" t="s">
        <v>23</v>
      </c>
      <c r="B8" s="4">
        <v>636853.04</v>
      </c>
    </row>
    <row r="9" spans="1:2">
      <c r="A9" s="5" t="s">
        <v>34</v>
      </c>
      <c r="B9" s="4">
        <v>122244.43000000001</v>
      </c>
    </row>
    <row r="10" spans="1:2">
      <c r="A10" s="3" t="s">
        <v>21</v>
      </c>
      <c r="B10" s="4">
        <v>4582951.0499999989</v>
      </c>
    </row>
    <row r="11" spans="1:2">
      <c r="A11" s="5" t="s">
        <v>37</v>
      </c>
      <c r="B11" s="4">
        <v>904578.63999999978</v>
      </c>
    </row>
    <row r="12" spans="1:2">
      <c r="A12" s="5" t="s">
        <v>20</v>
      </c>
      <c r="B12" s="4">
        <v>798886.54999999981</v>
      </c>
    </row>
    <row r="13" spans="1:2">
      <c r="A13" s="5" t="s">
        <v>39</v>
      </c>
      <c r="B13" s="4">
        <v>2879485.8599999994</v>
      </c>
    </row>
    <row r="14" spans="1:2">
      <c r="A14" s="3" t="s">
        <v>26</v>
      </c>
      <c r="B14" s="4">
        <v>973124.30000000016</v>
      </c>
    </row>
    <row r="15" spans="1:2">
      <c r="A15" s="5" t="s">
        <v>32</v>
      </c>
      <c r="B15" s="4">
        <v>243434.81000000003</v>
      </c>
    </row>
    <row r="16" spans="1:2">
      <c r="A16" s="5" t="s">
        <v>29</v>
      </c>
      <c r="B16" s="4">
        <v>149632.51</v>
      </c>
    </row>
    <row r="17" spans="1:2">
      <c r="A17" s="5" t="s">
        <v>25</v>
      </c>
      <c r="B17" s="4">
        <v>580056.9800000001</v>
      </c>
    </row>
    <row r="18" spans="1:2">
      <c r="A18" s="3" t="s">
        <v>17</v>
      </c>
      <c r="B18" s="4">
        <v>29850.190000000002</v>
      </c>
    </row>
    <row r="19" spans="1:2">
      <c r="A19" s="5" t="s">
        <v>16</v>
      </c>
      <c r="B19" s="4">
        <v>29850.190000000002</v>
      </c>
    </row>
    <row r="20" spans="1:2">
      <c r="A20" s="3" t="s">
        <v>47</v>
      </c>
      <c r="B20" s="4"/>
    </row>
    <row r="21" spans="1:2">
      <c r="A21" s="5" t="s">
        <v>47</v>
      </c>
      <c r="B21" s="4"/>
    </row>
    <row r="22" spans="1:2">
      <c r="A22" s="3" t="s">
        <v>48</v>
      </c>
      <c r="B22" s="4">
        <v>6996014.2699999996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FBCB-89AB-423D-8DF5-3BFBAA381822}">
  <dimension ref="A3:B12"/>
  <sheetViews>
    <sheetView workbookViewId="0">
      <selection activeCell="F24" sqref="F24"/>
    </sheetView>
  </sheetViews>
  <sheetFormatPr defaultRowHeight="14.4"/>
  <cols>
    <col min="1" max="1" width="21.6640625" bestFit="1" customWidth="1"/>
    <col min="2" max="2" width="14.88671875" bestFit="1" customWidth="1"/>
  </cols>
  <sheetData>
    <row r="3" spans="1:2">
      <c r="A3" s="2" t="s">
        <v>52</v>
      </c>
      <c r="B3" t="s">
        <v>49</v>
      </c>
    </row>
    <row r="4" spans="1:2">
      <c r="A4" s="3" t="s">
        <v>28</v>
      </c>
      <c r="B4" s="4">
        <v>1021156.93</v>
      </c>
    </row>
    <row r="5" spans="1:2">
      <c r="A5" s="3" t="s">
        <v>22</v>
      </c>
      <c r="B5" s="4">
        <v>1470563.7099999997</v>
      </c>
    </row>
    <row r="6" spans="1:2">
      <c r="A6" s="3" t="s">
        <v>30</v>
      </c>
      <c r="B6" s="4">
        <v>1460347.2299999997</v>
      </c>
    </row>
    <row r="7" spans="1:2">
      <c r="A7" s="3" t="s">
        <v>31</v>
      </c>
      <c r="B7" s="4">
        <v>1042539.2999999999</v>
      </c>
    </row>
    <row r="8" spans="1:2">
      <c r="A8" s="3" t="s">
        <v>33</v>
      </c>
      <c r="B8" s="4">
        <v>1144310.7599999998</v>
      </c>
    </row>
    <row r="9" spans="1:2">
      <c r="A9" s="3" t="s">
        <v>40</v>
      </c>
      <c r="B9" s="4">
        <v>70172.34</v>
      </c>
    </row>
    <row r="10" spans="1:2">
      <c r="A10" s="3" t="s">
        <v>14</v>
      </c>
      <c r="B10" s="4">
        <v>786924</v>
      </c>
    </row>
    <row r="11" spans="1:2">
      <c r="A11" s="3" t="s">
        <v>47</v>
      </c>
      <c r="B11" s="4"/>
    </row>
    <row r="12" spans="1:2">
      <c r="A12" s="3" t="s">
        <v>48</v>
      </c>
      <c r="B12" s="4">
        <v>6996014.2699999986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49A-ECB1-421A-AE61-944F3C1E93B2}">
  <dimension ref="A1:E4"/>
  <sheetViews>
    <sheetView zoomScale="85" zoomScaleNormal="85" workbookViewId="0">
      <selection activeCell="E25" sqref="E25"/>
    </sheetView>
  </sheetViews>
  <sheetFormatPr defaultRowHeight="14.4"/>
  <cols>
    <col min="1" max="1" width="28.5546875" bestFit="1" customWidth="1"/>
    <col min="4" max="4" width="19.33203125" customWidth="1"/>
    <col min="5" max="5" width="34.109375" customWidth="1"/>
  </cols>
  <sheetData>
    <row r="1" spans="1:5" ht="24.6">
      <c r="A1" s="6" t="s">
        <v>53</v>
      </c>
    </row>
    <row r="3" spans="1:5" ht="25.8">
      <c r="A3" s="9" t="s">
        <v>54</v>
      </c>
      <c r="C3" s="9" t="s">
        <v>55</v>
      </c>
      <c r="E3" s="9" t="s">
        <v>56</v>
      </c>
    </row>
    <row r="4" spans="1:5" ht="31.2">
      <c r="A4" s="8">
        <f>SUM(sales_sample_data!K:K)</f>
        <v>6996014.2700000051</v>
      </c>
      <c r="C4" s="7">
        <f>COUNTA(sales_sample_data!A:A)-1</f>
        <v>646</v>
      </c>
      <c r="E4" s="8">
        <f>AVERAGE(sales_sample_data!K:K)</f>
        <v>10829.743452012392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9C17-ADF6-448C-8147-68D9068D286C}">
  <dimension ref="A1:O647"/>
  <sheetViews>
    <sheetView topLeftCell="B1" workbookViewId="0">
      <selection activeCell="M93" sqref="M93"/>
    </sheetView>
  </sheetViews>
  <sheetFormatPr defaultRowHeight="14.4"/>
  <cols>
    <col min="1" max="1" width="11.6640625" customWidth="1"/>
    <col min="2" max="3" width="21.21875" customWidth="1"/>
    <col min="4" max="4" width="19.109375" customWidth="1"/>
    <col min="5" max="5" width="14.44140625" customWidth="1"/>
    <col min="6" max="6" width="14.77734375" customWidth="1"/>
    <col min="7" max="7" width="13.33203125" customWidth="1"/>
    <col min="8" max="8" width="12.5546875" customWidth="1"/>
    <col min="9" max="9" width="11.109375" customWidth="1"/>
    <col min="10" max="10" width="13.44140625" customWidth="1"/>
    <col min="11" max="11" width="15.77734375" customWidth="1"/>
    <col min="13" max="13" width="4.88671875" customWidth="1"/>
    <col min="14" max="14" width="17.21875" customWidth="1"/>
    <col min="15" max="15" width="1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>
      <c r="A2">
        <v>10530</v>
      </c>
      <c r="B2" s="1">
        <v>45864</v>
      </c>
      <c r="C2" t="s">
        <v>16</v>
      </c>
      <c r="D2" t="s">
        <v>17</v>
      </c>
      <c r="E2" t="s">
        <v>27</v>
      </c>
      <c r="F2" t="s">
        <v>31</v>
      </c>
      <c r="G2" t="s">
        <v>19</v>
      </c>
      <c r="H2">
        <v>1</v>
      </c>
      <c r="I2">
        <v>189.8</v>
      </c>
      <c r="J2">
        <v>0</v>
      </c>
      <c r="K2">
        <v>189.8</v>
      </c>
      <c r="N2" t="s">
        <v>41</v>
      </c>
      <c r="O2" t="s">
        <v>44</v>
      </c>
    </row>
    <row r="3" spans="1:15">
      <c r="A3">
        <v>10316</v>
      </c>
      <c r="B3" s="1">
        <v>45882</v>
      </c>
      <c r="C3" t="s">
        <v>16</v>
      </c>
      <c r="D3" t="s">
        <v>17</v>
      </c>
      <c r="E3" t="s">
        <v>18</v>
      </c>
      <c r="F3" t="s">
        <v>33</v>
      </c>
      <c r="G3" t="s">
        <v>15</v>
      </c>
      <c r="H3">
        <v>1</v>
      </c>
      <c r="I3">
        <v>191.84</v>
      </c>
      <c r="J3">
        <v>0</v>
      </c>
      <c r="K3">
        <v>191.84</v>
      </c>
      <c r="N3" t="s">
        <v>42</v>
      </c>
      <c r="O3" t="s">
        <v>45</v>
      </c>
    </row>
    <row r="4" spans="1:15">
      <c r="A4">
        <v>10013</v>
      </c>
      <c r="B4" s="1">
        <v>45987</v>
      </c>
      <c r="C4" t="s">
        <v>16</v>
      </c>
      <c r="D4" t="s">
        <v>17</v>
      </c>
      <c r="E4" t="s">
        <v>27</v>
      </c>
      <c r="F4" t="s">
        <v>14</v>
      </c>
      <c r="G4" t="s">
        <v>19</v>
      </c>
      <c r="H4">
        <v>1</v>
      </c>
      <c r="I4">
        <v>193.96</v>
      </c>
      <c r="J4">
        <v>10</v>
      </c>
      <c r="K4">
        <v>193.96</v>
      </c>
      <c r="N4" t="s">
        <v>43</v>
      </c>
      <c r="O4" t="s">
        <v>46</v>
      </c>
    </row>
    <row r="5" spans="1:15">
      <c r="A5">
        <v>10397</v>
      </c>
      <c r="B5" s="1">
        <v>45688</v>
      </c>
      <c r="C5" t="s">
        <v>16</v>
      </c>
      <c r="D5" t="s">
        <v>17</v>
      </c>
      <c r="E5" t="s">
        <v>13</v>
      </c>
      <c r="F5" t="s">
        <v>22</v>
      </c>
      <c r="G5" t="s">
        <v>15</v>
      </c>
      <c r="H5">
        <v>1</v>
      </c>
      <c r="I5">
        <v>194.02</v>
      </c>
      <c r="J5">
        <v>15</v>
      </c>
      <c r="K5">
        <v>194.02</v>
      </c>
      <c r="N5" t="str">
        <f>_xlfn.XLOOKUP(A2, M2:M3, N2:N3, "Not found")</f>
        <v>Not found</v>
      </c>
    </row>
    <row r="6" spans="1:15">
      <c r="A6">
        <v>10422</v>
      </c>
      <c r="B6" s="1">
        <v>45874</v>
      </c>
      <c r="C6" t="s">
        <v>16</v>
      </c>
      <c r="D6" t="s">
        <v>17</v>
      </c>
      <c r="E6" t="s">
        <v>27</v>
      </c>
      <c r="F6" t="s">
        <v>28</v>
      </c>
      <c r="G6" t="s">
        <v>35</v>
      </c>
      <c r="H6">
        <v>1</v>
      </c>
      <c r="I6">
        <v>194.57</v>
      </c>
      <c r="J6">
        <v>0</v>
      </c>
      <c r="K6">
        <v>194.57</v>
      </c>
      <c r="N6" t="e">
        <f>INDEX(N2:N3, MATCH(A2, M2:M3, 0))</f>
        <v>#N/A</v>
      </c>
    </row>
    <row r="7" spans="1:15">
      <c r="A7">
        <v>10361</v>
      </c>
      <c r="B7" s="1">
        <v>45826</v>
      </c>
      <c r="C7" t="s">
        <v>16</v>
      </c>
      <c r="D7" t="s">
        <v>17</v>
      </c>
      <c r="E7" t="s">
        <v>27</v>
      </c>
      <c r="F7" t="s">
        <v>30</v>
      </c>
      <c r="G7" t="s">
        <v>19</v>
      </c>
      <c r="H7">
        <v>1</v>
      </c>
      <c r="I7">
        <v>195.03</v>
      </c>
      <c r="J7">
        <v>10</v>
      </c>
      <c r="K7">
        <v>195.03</v>
      </c>
    </row>
    <row r="8" spans="1:15">
      <c r="A8">
        <v>10171</v>
      </c>
      <c r="B8" s="1">
        <v>45831</v>
      </c>
      <c r="C8" t="s">
        <v>16</v>
      </c>
      <c r="D8" t="s">
        <v>17</v>
      </c>
      <c r="E8" t="s">
        <v>27</v>
      </c>
      <c r="F8" t="s">
        <v>31</v>
      </c>
      <c r="G8" t="s">
        <v>19</v>
      </c>
      <c r="H8">
        <v>1</v>
      </c>
      <c r="I8">
        <v>195.27</v>
      </c>
      <c r="J8">
        <v>0</v>
      </c>
      <c r="K8">
        <v>195.27</v>
      </c>
    </row>
    <row r="9" spans="1:15">
      <c r="A9">
        <v>10053</v>
      </c>
      <c r="B9" s="1">
        <v>46000</v>
      </c>
      <c r="C9" t="s">
        <v>16</v>
      </c>
      <c r="D9" t="s">
        <v>17</v>
      </c>
      <c r="E9" t="s">
        <v>18</v>
      </c>
      <c r="F9" t="s">
        <v>30</v>
      </c>
      <c r="G9" t="s">
        <v>15</v>
      </c>
      <c r="H9">
        <v>1</v>
      </c>
      <c r="I9">
        <v>196.66</v>
      </c>
      <c r="J9">
        <v>0</v>
      </c>
      <c r="K9">
        <v>196.66</v>
      </c>
    </row>
    <row r="10" spans="1:15">
      <c r="A10">
        <v>10600</v>
      </c>
      <c r="B10" s="1">
        <v>45819</v>
      </c>
      <c r="C10" t="s">
        <v>16</v>
      </c>
      <c r="D10" t="s">
        <v>17</v>
      </c>
      <c r="E10" t="s">
        <v>24</v>
      </c>
      <c r="F10" t="s">
        <v>31</v>
      </c>
      <c r="G10" t="s">
        <v>35</v>
      </c>
      <c r="H10">
        <v>1</v>
      </c>
      <c r="I10">
        <v>199.69</v>
      </c>
      <c r="J10">
        <v>15</v>
      </c>
      <c r="K10">
        <v>199.69</v>
      </c>
    </row>
    <row r="11" spans="1:15">
      <c r="A11">
        <v>10385</v>
      </c>
      <c r="B11" s="1">
        <v>45874</v>
      </c>
      <c r="C11" t="s">
        <v>16</v>
      </c>
      <c r="D11" t="s">
        <v>17</v>
      </c>
      <c r="E11" t="s">
        <v>18</v>
      </c>
      <c r="F11" t="s">
        <v>31</v>
      </c>
      <c r="G11" t="s">
        <v>35</v>
      </c>
      <c r="H11">
        <v>1</v>
      </c>
      <c r="I11">
        <v>200.09</v>
      </c>
      <c r="J11">
        <v>5</v>
      </c>
      <c r="K11">
        <v>200.09</v>
      </c>
    </row>
    <row r="12" spans="1:15">
      <c r="A12">
        <v>10388</v>
      </c>
      <c r="B12" s="1">
        <v>46021</v>
      </c>
      <c r="C12" t="s">
        <v>16</v>
      </c>
      <c r="D12" t="s">
        <v>17</v>
      </c>
      <c r="E12" t="s">
        <v>27</v>
      </c>
      <c r="F12" t="s">
        <v>31</v>
      </c>
      <c r="G12" t="s">
        <v>15</v>
      </c>
      <c r="H12">
        <v>1</v>
      </c>
      <c r="I12">
        <v>200.3</v>
      </c>
      <c r="J12">
        <v>20</v>
      </c>
      <c r="K12">
        <v>200.3</v>
      </c>
    </row>
    <row r="13" spans="1:15">
      <c r="A13">
        <v>10379</v>
      </c>
      <c r="B13" s="1">
        <v>45660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>
        <v>1</v>
      </c>
      <c r="I13">
        <v>200.54</v>
      </c>
      <c r="J13">
        <v>20</v>
      </c>
      <c r="K13">
        <v>200.54</v>
      </c>
    </row>
    <row r="14" spans="1:15">
      <c r="A14">
        <v>10442</v>
      </c>
      <c r="B14" s="1">
        <v>46016</v>
      </c>
      <c r="C14" t="s">
        <v>16</v>
      </c>
      <c r="D14" t="s">
        <v>17</v>
      </c>
      <c r="E14" t="s">
        <v>13</v>
      </c>
      <c r="F14" t="s">
        <v>31</v>
      </c>
      <c r="G14" t="s">
        <v>35</v>
      </c>
      <c r="H14">
        <v>1</v>
      </c>
      <c r="I14">
        <v>200.61</v>
      </c>
      <c r="J14">
        <v>10</v>
      </c>
      <c r="K14">
        <v>200.61</v>
      </c>
    </row>
    <row r="15" spans="1:15">
      <c r="A15">
        <v>10420</v>
      </c>
      <c r="B15" s="1">
        <v>45845</v>
      </c>
      <c r="C15" t="s">
        <v>16</v>
      </c>
      <c r="D15" t="s">
        <v>17</v>
      </c>
      <c r="E15" t="s">
        <v>18</v>
      </c>
      <c r="F15" t="s">
        <v>31</v>
      </c>
      <c r="G15" t="s">
        <v>15</v>
      </c>
      <c r="H15">
        <v>1</v>
      </c>
      <c r="I15">
        <v>200.74</v>
      </c>
      <c r="J15">
        <v>0</v>
      </c>
      <c r="K15">
        <v>200.74</v>
      </c>
    </row>
    <row r="16" spans="1:15">
      <c r="A16">
        <v>10355</v>
      </c>
      <c r="B16" s="1">
        <v>45710</v>
      </c>
      <c r="C16" t="s">
        <v>16</v>
      </c>
      <c r="D16" t="s">
        <v>17</v>
      </c>
      <c r="E16" t="s">
        <v>24</v>
      </c>
      <c r="F16" t="s">
        <v>28</v>
      </c>
      <c r="G16" t="s">
        <v>19</v>
      </c>
      <c r="H16">
        <v>1</v>
      </c>
      <c r="I16">
        <v>200.93</v>
      </c>
      <c r="J16">
        <v>20</v>
      </c>
      <c r="K16">
        <v>200.93</v>
      </c>
    </row>
    <row r="17" spans="1:11">
      <c r="A17">
        <v>10364</v>
      </c>
      <c r="B17" s="1">
        <v>45844</v>
      </c>
      <c r="C17" t="s">
        <v>16</v>
      </c>
      <c r="D17" t="s">
        <v>17</v>
      </c>
      <c r="E17" t="s">
        <v>24</v>
      </c>
      <c r="F17" t="s">
        <v>33</v>
      </c>
      <c r="G17" t="s">
        <v>15</v>
      </c>
      <c r="H17">
        <v>1</v>
      </c>
      <c r="I17">
        <v>202.62</v>
      </c>
      <c r="J17">
        <v>10</v>
      </c>
      <c r="K17">
        <v>202.62</v>
      </c>
    </row>
    <row r="18" spans="1:11">
      <c r="A18">
        <v>10581</v>
      </c>
      <c r="B18" s="1">
        <v>46008</v>
      </c>
      <c r="C18" t="s">
        <v>16</v>
      </c>
      <c r="D18" t="s">
        <v>17</v>
      </c>
      <c r="E18" t="s">
        <v>13</v>
      </c>
      <c r="F18" t="s">
        <v>33</v>
      </c>
      <c r="G18" t="s">
        <v>15</v>
      </c>
      <c r="H18">
        <v>1</v>
      </c>
      <c r="I18">
        <v>203.85</v>
      </c>
      <c r="J18">
        <v>0</v>
      </c>
      <c r="K18">
        <v>203.85</v>
      </c>
    </row>
    <row r="19" spans="1:11">
      <c r="A19">
        <v>10527</v>
      </c>
      <c r="B19" s="1">
        <v>45949</v>
      </c>
      <c r="C19" t="s">
        <v>16</v>
      </c>
      <c r="D19" t="s">
        <v>17</v>
      </c>
      <c r="E19" t="s">
        <v>27</v>
      </c>
      <c r="F19" t="s">
        <v>14</v>
      </c>
      <c r="G19" t="s">
        <v>19</v>
      </c>
      <c r="H19">
        <v>1</v>
      </c>
      <c r="I19">
        <v>204.55</v>
      </c>
      <c r="J19">
        <v>5</v>
      </c>
      <c r="K19">
        <v>204.55</v>
      </c>
    </row>
    <row r="20" spans="1:11">
      <c r="A20">
        <v>10347</v>
      </c>
      <c r="B20" s="1">
        <v>46004</v>
      </c>
      <c r="C20" t="s">
        <v>16</v>
      </c>
      <c r="D20" t="s">
        <v>17</v>
      </c>
      <c r="E20" t="s">
        <v>13</v>
      </c>
      <c r="F20" t="s">
        <v>31</v>
      </c>
      <c r="G20" t="s">
        <v>35</v>
      </c>
      <c r="H20">
        <v>1</v>
      </c>
      <c r="I20">
        <v>204.78</v>
      </c>
      <c r="J20">
        <v>15</v>
      </c>
      <c r="K20">
        <v>204.78</v>
      </c>
    </row>
    <row r="21" spans="1:11">
      <c r="A21">
        <v>10214</v>
      </c>
      <c r="B21" s="1">
        <v>45915</v>
      </c>
      <c r="C21" t="s">
        <v>16</v>
      </c>
      <c r="D21" t="s">
        <v>17</v>
      </c>
      <c r="E21" t="s">
        <v>27</v>
      </c>
      <c r="F21" t="s">
        <v>14</v>
      </c>
      <c r="G21" t="s">
        <v>15</v>
      </c>
      <c r="H21">
        <v>1</v>
      </c>
      <c r="I21">
        <v>206.42</v>
      </c>
      <c r="J21">
        <v>0</v>
      </c>
      <c r="K21">
        <v>206.42</v>
      </c>
    </row>
    <row r="22" spans="1:11">
      <c r="A22">
        <v>10113</v>
      </c>
      <c r="B22" s="1">
        <v>45797</v>
      </c>
      <c r="C22" t="s">
        <v>16</v>
      </c>
      <c r="D22" t="s">
        <v>17</v>
      </c>
      <c r="E22" t="s">
        <v>27</v>
      </c>
      <c r="F22" t="s">
        <v>31</v>
      </c>
      <c r="G22" t="s">
        <v>15</v>
      </c>
      <c r="H22">
        <v>1</v>
      </c>
      <c r="I22">
        <v>206.75</v>
      </c>
      <c r="J22">
        <v>15</v>
      </c>
      <c r="K22">
        <v>206.75</v>
      </c>
    </row>
    <row r="23" spans="1:11">
      <c r="A23">
        <v>10050</v>
      </c>
      <c r="B23" s="1">
        <v>45723</v>
      </c>
      <c r="C23" t="s">
        <v>16</v>
      </c>
      <c r="D23" t="s">
        <v>17</v>
      </c>
      <c r="E23" t="s">
        <v>24</v>
      </c>
      <c r="F23" t="s">
        <v>30</v>
      </c>
      <c r="G23" t="s">
        <v>19</v>
      </c>
      <c r="H23">
        <v>1</v>
      </c>
      <c r="I23">
        <v>206.94</v>
      </c>
      <c r="J23">
        <v>0</v>
      </c>
      <c r="K23">
        <v>206.94</v>
      </c>
    </row>
    <row r="24" spans="1:11">
      <c r="A24">
        <v>10580</v>
      </c>
      <c r="B24" s="1">
        <v>45779</v>
      </c>
      <c r="C24" t="s">
        <v>16</v>
      </c>
      <c r="D24" t="s">
        <v>17</v>
      </c>
      <c r="E24" t="s">
        <v>13</v>
      </c>
      <c r="F24" t="s">
        <v>22</v>
      </c>
      <c r="G24" t="s">
        <v>35</v>
      </c>
      <c r="H24">
        <v>1</v>
      </c>
      <c r="I24">
        <v>207.49</v>
      </c>
      <c r="J24">
        <v>5</v>
      </c>
      <c r="K24">
        <v>207.49</v>
      </c>
    </row>
    <row r="25" spans="1:11">
      <c r="A25">
        <v>10308</v>
      </c>
      <c r="B25" s="1">
        <v>45834</v>
      </c>
      <c r="C25" t="s">
        <v>16</v>
      </c>
      <c r="D25" t="s">
        <v>17</v>
      </c>
      <c r="E25" t="s">
        <v>24</v>
      </c>
      <c r="F25" t="s">
        <v>33</v>
      </c>
      <c r="G25" t="s">
        <v>15</v>
      </c>
      <c r="H25">
        <v>1</v>
      </c>
      <c r="I25">
        <v>208.67</v>
      </c>
      <c r="J25">
        <v>5</v>
      </c>
      <c r="K25">
        <v>208.67</v>
      </c>
    </row>
    <row r="26" spans="1:11">
      <c r="A26">
        <v>10335</v>
      </c>
      <c r="B26" s="1">
        <v>45980</v>
      </c>
      <c r="C26" t="s">
        <v>11</v>
      </c>
      <c r="D26" t="s">
        <v>12</v>
      </c>
      <c r="E26" t="s">
        <v>18</v>
      </c>
      <c r="F26" t="s">
        <v>40</v>
      </c>
      <c r="G26" t="s">
        <v>35</v>
      </c>
      <c r="H26">
        <v>1</v>
      </c>
      <c r="I26">
        <v>284.32</v>
      </c>
      <c r="J26">
        <v>10</v>
      </c>
      <c r="K26">
        <v>284.32</v>
      </c>
    </row>
    <row r="27" spans="1:11">
      <c r="A27">
        <v>10122</v>
      </c>
      <c r="B27" s="1">
        <v>45805</v>
      </c>
      <c r="C27" t="s">
        <v>11</v>
      </c>
      <c r="D27" t="s">
        <v>12</v>
      </c>
      <c r="E27" t="s">
        <v>27</v>
      </c>
      <c r="F27" t="s">
        <v>22</v>
      </c>
      <c r="G27" t="s">
        <v>19</v>
      </c>
      <c r="H27">
        <v>1</v>
      </c>
      <c r="I27">
        <v>284.91000000000003</v>
      </c>
      <c r="J27">
        <v>15</v>
      </c>
      <c r="K27">
        <v>284.91000000000003</v>
      </c>
    </row>
    <row r="28" spans="1:11">
      <c r="A28">
        <v>10255</v>
      </c>
      <c r="B28" s="1">
        <v>45745</v>
      </c>
      <c r="C28" t="s">
        <v>11</v>
      </c>
      <c r="D28" t="s">
        <v>12</v>
      </c>
      <c r="E28" t="s">
        <v>13</v>
      </c>
      <c r="F28" t="s">
        <v>33</v>
      </c>
      <c r="G28" t="s">
        <v>15</v>
      </c>
      <c r="H28">
        <v>1</v>
      </c>
      <c r="I28">
        <v>286.48</v>
      </c>
      <c r="J28">
        <v>15</v>
      </c>
      <c r="K28">
        <v>286.48</v>
      </c>
    </row>
    <row r="29" spans="1:11">
      <c r="A29">
        <v>10138</v>
      </c>
      <c r="B29" s="1">
        <v>45783</v>
      </c>
      <c r="C29" t="s">
        <v>11</v>
      </c>
      <c r="D29" t="s">
        <v>12</v>
      </c>
      <c r="E29" t="s">
        <v>27</v>
      </c>
      <c r="F29" t="s">
        <v>33</v>
      </c>
      <c r="G29" t="s">
        <v>35</v>
      </c>
      <c r="H29">
        <v>1</v>
      </c>
      <c r="I29">
        <v>289.13</v>
      </c>
      <c r="J29">
        <v>0</v>
      </c>
      <c r="K29">
        <v>289.13</v>
      </c>
    </row>
    <row r="30" spans="1:11">
      <c r="A30">
        <v>10052</v>
      </c>
      <c r="B30" s="1">
        <v>45779</v>
      </c>
      <c r="C30" t="s">
        <v>11</v>
      </c>
      <c r="D30" t="s">
        <v>12</v>
      </c>
      <c r="E30" t="s">
        <v>18</v>
      </c>
      <c r="F30" t="s">
        <v>14</v>
      </c>
      <c r="G30" t="s">
        <v>19</v>
      </c>
      <c r="H30">
        <v>1</v>
      </c>
      <c r="I30">
        <v>289.41000000000003</v>
      </c>
      <c r="J30">
        <v>0</v>
      </c>
      <c r="K30">
        <v>289.41000000000003</v>
      </c>
    </row>
    <row r="31" spans="1:11">
      <c r="A31">
        <v>10451</v>
      </c>
      <c r="B31" s="1">
        <v>45720</v>
      </c>
      <c r="C31" t="s">
        <v>11</v>
      </c>
      <c r="D31" t="s">
        <v>12</v>
      </c>
      <c r="E31" t="s">
        <v>24</v>
      </c>
      <c r="F31" t="s">
        <v>28</v>
      </c>
      <c r="G31" t="s">
        <v>15</v>
      </c>
      <c r="H31">
        <v>1</v>
      </c>
      <c r="I31">
        <v>289.97000000000003</v>
      </c>
      <c r="J31">
        <v>5</v>
      </c>
      <c r="K31">
        <v>289.97000000000003</v>
      </c>
    </row>
    <row r="32" spans="1:11">
      <c r="A32">
        <v>10266</v>
      </c>
      <c r="B32" s="1">
        <v>45793</v>
      </c>
      <c r="C32" t="s">
        <v>11</v>
      </c>
      <c r="D32" t="s">
        <v>12</v>
      </c>
      <c r="E32" t="s">
        <v>13</v>
      </c>
      <c r="F32" t="s">
        <v>31</v>
      </c>
      <c r="G32" t="s">
        <v>19</v>
      </c>
      <c r="H32">
        <v>1</v>
      </c>
      <c r="I32">
        <v>296.02999999999997</v>
      </c>
      <c r="J32">
        <v>10</v>
      </c>
      <c r="K32">
        <v>296.02999999999997</v>
      </c>
    </row>
    <row r="33" spans="1:11">
      <c r="A33">
        <v>10443</v>
      </c>
      <c r="B33" s="1">
        <v>45984</v>
      </c>
      <c r="C33" t="s">
        <v>11</v>
      </c>
      <c r="D33" t="s">
        <v>12</v>
      </c>
      <c r="E33" t="s">
        <v>27</v>
      </c>
      <c r="F33" t="s">
        <v>28</v>
      </c>
      <c r="G33" t="s">
        <v>35</v>
      </c>
      <c r="H33">
        <v>1</v>
      </c>
      <c r="I33">
        <v>297.06</v>
      </c>
      <c r="J33">
        <v>0</v>
      </c>
      <c r="K33">
        <v>297.06</v>
      </c>
    </row>
    <row r="34" spans="1:11">
      <c r="A34">
        <v>10306</v>
      </c>
      <c r="B34" s="1">
        <v>45920</v>
      </c>
      <c r="C34" t="s">
        <v>11</v>
      </c>
      <c r="D34" t="s">
        <v>12</v>
      </c>
      <c r="E34" t="s">
        <v>27</v>
      </c>
      <c r="F34" t="s">
        <v>31</v>
      </c>
      <c r="G34" t="s">
        <v>35</v>
      </c>
      <c r="H34">
        <v>1</v>
      </c>
      <c r="I34">
        <v>300.76</v>
      </c>
      <c r="J34">
        <v>15</v>
      </c>
      <c r="K34">
        <v>300.76</v>
      </c>
    </row>
    <row r="35" spans="1:11">
      <c r="A35">
        <v>10346</v>
      </c>
      <c r="B35" s="1">
        <v>46022</v>
      </c>
      <c r="C35" t="s">
        <v>11</v>
      </c>
      <c r="D35" t="s">
        <v>12</v>
      </c>
      <c r="E35" t="s">
        <v>27</v>
      </c>
      <c r="F35" t="s">
        <v>28</v>
      </c>
      <c r="G35" t="s">
        <v>19</v>
      </c>
      <c r="H35">
        <v>1</v>
      </c>
      <c r="I35">
        <v>300.91000000000003</v>
      </c>
      <c r="J35">
        <v>10</v>
      </c>
      <c r="K35">
        <v>300.91000000000003</v>
      </c>
    </row>
    <row r="36" spans="1:11">
      <c r="A36">
        <v>10412</v>
      </c>
      <c r="B36" s="1">
        <v>45986</v>
      </c>
      <c r="C36" t="s">
        <v>11</v>
      </c>
      <c r="D36" t="s">
        <v>12</v>
      </c>
      <c r="E36" t="s">
        <v>18</v>
      </c>
      <c r="F36" t="s">
        <v>28</v>
      </c>
      <c r="G36" t="s">
        <v>35</v>
      </c>
      <c r="H36">
        <v>1</v>
      </c>
      <c r="I36">
        <v>302.3</v>
      </c>
      <c r="J36">
        <v>0</v>
      </c>
      <c r="K36">
        <v>302.3</v>
      </c>
    </row>
    <row r="37" spans="1:11">
      <c r="A37">
        <v>10456</v>
      </c>
      <c r="B37" s="1">
        <v>45798</v>
      </c>
      <c r="C37" t="s">
        <v>11</v>
      </c>
      <c r="D37" t="s">
        <v>12</v>
      </c>
      <c r="E37" t="s">
        <v>13</v>
      </c>
      <c r="F37" t="s">
        <v>31</v>
      </c>
      <c r="G37" t="s">
        <v>15</v>
      </c>
      <c r="H37">
        <v>1</v>
      </c>
      <c r="I37">
        <v>302.41000000000003</v>
      </c>
      <c r="J37">
        <v>10</v>
      </c>
      <c r="K37">
        <v>302.41000000000003</v>
      </c>
    </row>
    <row r="38" spans="1:11">
      <c r="A38">
        <v>10209</v>
      </c>
      <c r="B38" s="1">
        <v>45697</v>
      </c>
      <c r="C38" t="s">
        <v>11</v>
      </c>
      <c r="D38" t="s">
        <v>12</v>
      </c>
      <c r="E38" t="s">
        <v>13</v>
      </c>
      <c r="F38" t="s">
        <v>28</v>
      </c>
      <c r="G38" t="s">
        <v>35</v>
      </c>
      <c r="H38">
        <v>1</v>
      </c>
      <c r="I38">
        <v>303.83999999999997</v>
      </c>
      <c r="J38">
        <v>20</v>
      </c>
      <c r="K38">
        <v>303.83999999999997</v>
      </c>
    </row>
    <row r="39" spans="1:11">
      <c r="A39">
        <v>10471</v>
      </c>
      <c r="B39" s="1">
        <v>45881</v>
      </c>
      <c r="C39" t="s">
        <v>11</v>
      </c>
      <c r="D39" t="s">
        <v>12</v>
      </c>
      <c r="E39" t="s">
        <v>27</v>
      </c>
      <c r="F39" t="s">
        <v>22</v>
      </c>
      <c r="G39" t="s">
        <v>19</v>
      </c>
      <c r="H39">
        <v>1</v>
      </c>
      <c r="I39">
        <v>305.19</v>
      </c>
      <c r="J39">
        <v>10</v>
      </c>
      <c r="K39">
        <v>305.19</v>
      </c>
    </row>
    <row r="40" spans="1:11">
      <c r="A40">
        <v>10616</v>
      </c>
      <c r="B40" s="1">
        <v>45933</v>
      </c>
      <c r="C40" t="s">
        <v>11</v>
      </c>
      <c r="D40" t="s">
        <v>12</v>
      </c>
      <c r="E40" t="s">
        <v>18</v>
      </c>
      <c r="F40" t="s">
        <v>30</v>
      </c>
      <c r="G40" t="s">
        <v>35</v>
      </c>
      <c r="H40">
        <v>1</v>
      </c>
      <c r="I40">
        <v>305.8</v>
      </c>
      <c r="J40">
        <v>0</v>
      </c>
      <c r="K40">
        <v>305.8</v>
      </c>
    </row>
    <row r="41" spans="1:11">
      <c r="A41">
        <v>10126</v>
      </c>
      <c r="B41" s="1">
        <v>45854</v>
      </c>
      <c r="C41" t="s">
        <v>11</v>
      </c>
      <c r="D41" t="s">
        <v>12</v>
      </c>
      <c r="E41" t="s">
        <v>18</v>
      </c>
      <c r="F41" t="s">
        <v>33</v>
      </c>
      <c r="G41" t="s">
        <v>35</v>
      </c>
      <c r="H41">
        <v>1</v>
      </c>
      <c r="I41">
        <v>309.88</v>
      </c>
      <c r="J41">
        <v>0</v>
      </c>
      <c r="K41">
        <v>309.88</v>
      </c>
    </row>
    <row r="42" spans="1:11">
      <c r="A42">
        <v>10225</v>
      </c>
      <c r="B42" s="1">
        <v>45998</v>
      </c>
      <c r="C42" t="s">
        <v>11</v>
      </c>
      <c r="D42" t="s">
        <v>12</v>
      </c>
      <c r="E42" t="s">
        <v>24</v>
      </c>
      <c r="F42" t="s">
        <v>33</v>
      </c>
      <c r="G42" t="s">
        <v>19</v>
      </c>
      <c r="H42">
        <v>1</v>
      </c>
      <c r="I42">
        <v>312.56</v>
      </c>
      <c r="J42">
        <v>10</v>
      </c>
      <c r="K42">
        <v>312.56</v>
      </c>
    </row>
    <row r="43" spans="1:11">
      <c r="A43">
        <v>10366</v>
      </c>
      <c r="B43" s="1">
        <v>46002</v>
      </c>
      <c r="C43" t="s">
        <v>16</v>
      </c>
      <c r="D43" t="s">
        <v>17</v>
      </c>
      <c r="E43" t="s">
        <v>27</v>
      </c>
      <c r="F43" t="s">
        <v>14</v>
      </c>
      <c r="G43" t="s">
        <v>35</v>
      </c>
      <c r="H43">
        <v>2</v>
      </c>
      <c r="I43">
        <v>193.87</v>
      </c>
      <c r="J43">
        <v>15</v>
      </c>
      <c r="K43">
        <v>387.74</v>
      </c>
    </row>
    <row r="44" spans="1:11">
      <c r="A44">
        <v>10235</v>
      </c>
      <c r="B44" s="1">
        <v>45698</v>
      </c>
      <c r="C44" t="s">
        <v>16</v>
      </c>
      <c r="D44" t="s">
        <v>17</v>
      </c>
      <c r="E44" t="s">
        <v>27</v>
      </c>
      <c r="F44" t="s">
        <v>33</v>
      </c>
      <c r="G44" t="s">
        <v>15</v>
      </c>
      <c r="H44">
        <v>2</v>
      </c>
      <c r="I44">
        <v>195.44</v>
      </c>
      <c r="J44">
        <v>0</v>
      </c>
      <c r="K44">
        <v>390.88</v>
      </c>
    </row>
    <row r="45" spans="1:11">
      <c r="A45">
        <v>10410</v>
      </c>
      <c r="B45" s="1">
        <v>46013</v>
      </c>
      <c r="C45" t="s">
        <v>16</v>
      </c>
      <c r="D45" t="s">
        <v>17</v>
      </c>
      <c r="E45" t="s">
        <v>18</v>
      </c>
      <c r="F45" t="s">
        <v>31</v>
      </c>
      <c r="G45" t="s">
        <v>15</v>
      </c>
      <c r="H45">
        <v>2</v>
      </c>
      <c r="I45">
        <v>196.67</v>
      </c>
      <c r="J45">
        <v>15</v>
      </c>
      <c r="K45">
        <v>393.34</v>
      </c>
    </row>
    <row r="46" spans="1:11">
      <c r="A46">
        <v>10062</v>
      </c>
      <c r="B46" s="1">
        <v>46014</v>
      </c>
      <c r="C46" t="s">
        <v>16</v>
      </c>
      <c r="D46" t="s">
        <v>17</v>
      </c>
      <c r="E46" t="s">
        <v>13</v>
      </c>
      <c r="F46" t="s">
        <v>33</v>
      </c>
      <c r="G46" t="s">
        <v>15</v>
      </c>
      <c r="H46">
        <v>2</v>
      </c>
      <c r="I46">
        <v>197.42</v>
      </c>
      <c r="J46">
        <v>5</v>
      </c>
      <c r="K46">
        <v>394.84</v>
      </c>
    </row>
    <row r="47" spans="1:11">
      <c r="A47">
        <v>10170</v>
      </c>
      <c r="B47" s="1">
        <v>45708</v>
      </c>
      <c r="C47" t="s">
        <v>16</v>
      </c>
      <c r="D47" t="s">
        <v>17</v>
      </c>
      <c r="E47" t="s">
        <v>24</v>
      </c>
      <c r="F47" t="s">
        <v>22</v>
      </c>
      <c r="G47" t="s">
        <v>35</v>
      </c>
      <c r="H47">
        <v>2</v>
      </c>
      <c r="I47">
        <v>197.61</v>
      </c>
      <c r="J47">
        <v>0</v>
      </c>
      <c r="K47">
        <v>395.22</v>
      </c>
    </row>
    <row r="48" spans="1:11">
      <c r="A48">
        <v>10378</v>
      </c>
      <c r="B48" s="1">
        <v>45860</v>
      </c>
      <c r="C48" t="s">
        <v>16</v>
      </c>
      <c r="D48" t="s">
        <v>17</v>
      </c>
      <c r="E48" t="s">
        <v>24</v>
      </c>
      <c r="F48" t="s">
        <v>22</v>
      </c>
      <c r="G48" t="s">
        <v>35</v>
      </c>
      <c r="H48">
        <v>2</v>
      </c>
      <c r="I48">
        <v>198</v>
      </c>
      <c r="J48">
        <v>5</v>
      </c>
      <c r="K48">
        <v>396</v>
      </c>
    </row>
    <row r="49" spans="1:11">
      <c r="A49">
        <v>10458</v>
      </c>
      <c r="B49" s="1">
        <v>45728</v>
      </c>
      <c r="C49" t="s">
        <v>16</v>
      </c>
      <c r="D49" t="s">
        <v>17</v>
      </c>
      <c r="E49" t="s">
        <v>27</v>
      </c>
      <c r="F49" t="s">
        <v>14</v>
      </c>
      <c r="G49" t="s">
        <v>35</v>
      </c>
      <c r="H49">
        <v>2</v>
      </c>
      <c r="I49">
        <v>201.6</v>
      </c>
      <c r="J49">
        <v>20</v>
      </c>
      <c r="K49">
        <v>403.2</v>
      </c>
    </row>
    <row r="50" spans="1:11">
      <c r="A50">
        <v>10127</v>
      </c>
      <c r="B50" s="1">
        <v>45832</v>
      </c>
      <c r="C50" t="s">
        <v>16</v>
      </c>
      <c r="D50" t="s">
        <v>17</v>
      </c>
      <c r="E50" t="s">
        <v>13</v>
      </c>
      <c r="F50" t="s">
        <v>28</v>
      </c>
      <c r="G50" t="s">
        <v>19</v>
      </c>
      <c r="H50">
        <v>2</v>
      </c>
      <c r="I50">
        <v>205.72</v>
      </c>
      <c r="J50">
        <v>10</v>
      </c>
      <c r="K50">
        <v>411.44</v>
      </c>
    </row>
    <row r="51" spans="1:11">
      <c r="A51">
        <v>10589</v>
      </c>
      <c r="B51" s="1">
        <v>45936</v>
      </c>
      <c r="C51" t="s">
        <v>16</v>
      </c>
      <c r="D51" t="s">
        <v>17</v>
      </c>
      <c r="E51" t="s">
        <v>27</v>
      </c>
      <c r="F51" t="s">
        <v>28</v>
      </c>
      <c r="G51" t="s">
        <v>19</v>
      </c>
      <c r="H51">
        <v>2</v>
      </c>
      <c r="I51">
        <v>206.63</v>
      </c>
      <c r="J51">
        <v>15</v>
      </c>
      <c r="K51">
        <v>413.26</v>
      </c>
    </row>
    <row r="52" spans="1:11">
      <c r="A52">
        <v>10485</v>
      </c>
      <c r="B52" s="1">
        <v>45950</v>
      </c>
      <c r="C52" t="s">
        <v>16</v>
      </c>
      <c r="D52" t="s">
        <v>17</v>
      </c>
      <c r="E52" t="s">
        <v>27</v>
      </c>
      <c r="F52" t="s">
        <v>14</v>
      </c>
      <c r="G52" t="s">
        <v>15</v>
      </c>
      <c r="H52">
        <v>3</v>
      </c>
      <c r="I52">
        <v>189.13</v>
      </c>
      <c r="J52">
        <v>0</v>
      </c>
      <c r="K52">
        <v>567.39</v>
      </c>
    </row>
    <row r="53" spans="1:11">
      <c r="A53">
        <v>10175</v>
      </c>
      <c r="B53" s="1">
        <v>45684</v>
      </c>
      <c r="C53" t="s">
        <v>16</v>
      </c>
      <c r="D53" t="s">
        <v>17</v>
      </c>
      <c r="E53" t="s">
        <v>13</v>
      </c>
      <c r="F53" t="s">
        <v>33</v>
      </c>
      <c r="G53" t="s">
        <v>19</v>
      </c>
      <c r="H53">
        <v>3</v>
      </c>
      <c r="I53">
        <v>191.11</v>
      </c>
      <c r="J53">
        <v>10</v>
      </c>
      <c r="K53">
        <v>573.33000000000004</v>
      </c>
    </row>
    <row r="54" spans="1:11">
      <c r="A54">
        <v>10567</v>
      </c>
      <c r="B54" s="1">
        <v>45768</v>
      </c>
      <c r="C54" t="s">
        <v>16</v>
      </c>
      <c r="D54" t="s">
        <v>17</v>
      </c>
      <c r="E54" t="s">
        <v>27</v>
      </c>
      <c r="F54" t="s">
        <v>14</v>
      </c>
      <c r="G54" t="s">
        <v>35</v>
      </c>
      <c r="H54">
        <v>3</v>
      </c>
      <c r="I54">
        <v>191.19</v>
      </c>
      <c r="J54">
        <v>5</v>
      </c>
      <c r="K54">
        <v>573.57000000000005</v>
      </c>
    </row>
    <row r="55" spans="1:11">
      <c r="A55">
        <v>10566</v>
      </c>
      <c r="B55" s="1">
        <v>45867</v>
      </c>
      <c r="C55" t="s">
        <v>11</v>
      </c>
      <c r="D55" t="s">
        <v>12</v>
      </c>
      <c r="E55" t="s">
        <v>24</v>
      </c>
      <c r="F55" t="s">
        <v>30</v>
      </c>
      <c r="G55" t="s">
        <v>35</v>
      </c>
      <c r="H55">
        <v>2</v>
      </c>
      <c r="I55">
        <v>289.66000000000003</v>
      </c>
      <c r="J55">
        <v>20</v>
      </c>
      <c r="K55">
        <v>579.32000000000005</v>
      </c>
    </row>
    <row r="56" spans="1:11">
      <c r="A56">
        <v>10252</v>
      </c>
      <c r="B56" s="1">
        <v>45813</v>
      </c>
      <c r="C56" t="s">
        <v>11</v>
      </c>
      <c r="D56" t="s">
        <v>12</v>
      </c>
      <c r="E56" t="s">
        <v>18</v>
      </c>
      <c r="F56" t="s">
        <v>14</v>
      </c>
      <c r="G56" t="s">
        <v>19</v>
      </c>
      <c r="H56">
        <v>2</v>
      </c>
      <c r="I56">
        <v>294.39999999999998</v>
      </c>
      <c r="J56">
        <v>10</v>
      </c>
      <c r="K56">
        <v>588.79999999999995</v>
      </c>
    </row>
    <row r="57" spans="1:11">
      <c r="A57">
        <v>10523</v>
      </c>
      <c r="B57" s="1">
        <v>46006</v>
      </c>
      <c r="C57" t="s">
        <v>11</v>
      </c>
      <c r="D57" t="s">
        <v>12</v>
      </c>
      <c r="E57" t="s">
        <v>13</v>
      </c>
      <c r="F57" t="s">
        <v>22</v>
      </c>
      <c r="G57" t="s">
        <v>15</v>
      </c>
      <c r="H57">
        <v>2</v>
      </c>
      <c r="I57">
        <v>294.67</v>
      </c>
      <c r="J57">
        <v>15</v>
      </c>
      <c r="K57">
        <v>589.34</v>
      </c>
    </row>
    <row r="58" spans="1:11">
      <c r="A58">
        <v>10483</v>
      </c>
      <c r="B58" s="1">
        <v>45685</v>
      </c>
      <c r="C58" t="s">
        <v>11</v>
      </c>
      <c r="D58" t="s">
        <v>12</v>
      </c>
      <c r="E58" t="s">
        <v>24</v>
      </c>
      <c r="F58" t="s">
        <v>30</v>
      </c>
      <c r="G58" t="s">
        <v>15</v>
      </c>
      <c r="H58">
        <v>2</v>
      </c>
      <c r="I58">
        <v>296.29000000000002</v>
      </c>
      <c r="J58">
        <v>10</v>
      </c>
      <c r="K58">
        <v>592.58000000000004</v>
      </c>
    </row>
    <row r="59" spans="1:11">
      <c r="A59">
        <v>10407</v>
      </c>
      <c r="B59" s="1">
        <v>45684</v>
      </c>
      <c r="C59" t="s">
        <v>11</v>
      </c>
      <c r="D59" t="s">
        <v>12</v>
      </c>
      <c r="E59" t="s">
        <v>27</v>
      </c>
      <c r="F59" t="s">
        <v>22</v>
      </c>
      <c r="G59" t="s">
        <v>19</v>
      </c>
      <c r="H59">
        <v>2</v>
      </c>
      <c r="I59">
        <v>296.88</v>
      </c>
      <c r="J59">
        <v>0</v>
      </c>
      <c r="K59">
        <v>593.76</v>
      </c>
    </row>
    <row r="60" spans="1:11">
      <c r="A60">
        <v>10462</v>
      </c>
      <c r="B60" s="1">
        <v>45709</v>
      </c>
      <c r="C60" t="s">
        <v>11</v>
      </c>
      <c r="D60" t="s">
        <v>12</v>
      </c>
      <c r="E60" t="s">
        <v>18</v>
      </c>
      <c r="F60" t="s">
        <v>22</v>
      </c>
      <c r="G60" t="s">
        <v>15</v>
      </c>
      <c r="H60">
        <v>2</v>
      </c>
      <c r="I60">
        <v>300.01</v>
      </c>
      <c r="J60">
        <v>20</v>
      </c>
      <c r="K60">
        <v>600.02</v>
      </c>
    </row>
    <row r="61" spans="1:11">
      <c r="A61">
        <v>10481</v>
      </c>
      <c r="B61" s="1">
        <v>45740</v>
      </c>
      <c r="C61" t="s">
        <v>16</v>
      </c>
      <c r="D61" t="s">
        <v>17</v>
      </c>
      <c r="E61" t="s">
        <v>24</v>
      </c>
      <c r="F61" t="s">
        <v>33</v>
      </c>
      <c r="G61" t="s">
        <v>15</v>
      </c>
      <c r="H61">
        <v>3</v>
      </c>
      <c r="I61">
        <v>200.87</v>
      </c>
      <c r="J61">
        <v>10</v>
      </c>
      <c r="K61">
        <v>602.61</v>
      </c>
    </row>
    <row r="62" spans="1:11">
      <c r="A62">
        <v>10271</v>
      </c>
      <c r="B62" s="1">
        <v>45825</v>
      </c>
      <c r="C62" t="s">
        <v>11</v>
      </c>
      <c r="D62" t="s">
        <v>12</v>
      </c>
      <c r="E62" t="s">
        <v>13</v>
      </c>
      <c r="F62" t="s">
        <v>14</v>
      </c>
      <c r="G62" t="s">
        <v>19</v>
      </c>
      <c r="H62">
        <v>2</v>
      </c>
      <c r="I62">
        <v>301.8</v>
      </c>
      <c r="J62">
        <v>10</v>
      </c>
      <c r="K62">
        <v>603.6</v>
      </c>
    </row>
    <row r="63" spans="1:11">
      <c r="A63">
        <v>10118</v>
      </c>
      <c r="B63" s="1">
        <v>45826</v>
      </c>
      <c r="C63" t="s">
        <v>11</v>
      </c>
      <c r="D63" t="s">
        <v>12</v>
      </c>
      <c r="E63" t="s">
        <v>27</v>
      </c>
      <c r="F63" t="s">
        <v>22</v>
      </c>
      <c r="G63" t="s">
        <v>19</v>
      </c>
      <c r="H63">
        <v>2</v>
      </c>
      <c r="I63">
        <v>303.86</v>
      </c>
      <c r="J63">
        <v>5</v>
      </c>
      <c r="K63">
        <v>607.72</v>
      </c>
    </row>
    <row r="64" spans="1:11">
      <c r="A64">
        <v>10500</v>
      </c>
      <c r="B64" s="1">
        <v>45731</v>
      </c>
      <c r="C64" t="s">
        <v>16</v>
      </c>
      <c r="D64" t="s">
        <v>17</v>
      </c>
      <c r="E64" t="s">
        <v>27</v>
      </c>
      <c r="F64" t="s">
        <v>28</v>
      </c>
      <c r="G64" t="s">
        <v>19</v>
      </c>
      <c r="H64">
        <v>3</v>
      </c>
      <c r="I64">
        <v>202.79</v>
      </c>
      <c r="J64">
        <v>0</v>
      </c>
      <c r="K64">
        <v>608.37</v>
      </c>
    </row>
    <row r="65" spans="1:11">
      <c r="A65">
        <v>10604</v>
      </c>
      <c r="B65" s="1">
        <v>45858</v>
      </c>
      <c r="C65" t="s">
        <v>11</v>
      </c>
      <c r="D65" t="s">
        <v>12</v>
      </c>
      <c r="E65" t="s">
        <v>13</v>
      </c>
      <c r="F65" t="s">
        <v>22</v>
      </c>
      <c r="G65" t="s">
        <v>15</v>
      </c>
      <c r="H65">
        <v>2</v>
      </c>
      <c r="I65">
        <v>304.3</v>
      </c>
      <c r="J65">
        <v>20</v>
      </c>
      <c r="K65">
        <v>608.6</v>
      </c>
    </row>
    <row r="66" spans="1:11">
      <c r="A66">
        <v>10522</v>
      </c>
      <c r="B66" s="1">
        <v>45808</v>
      </c>
      <c r="C66" t="s">
        <v>11</v>
      </c>
      <c r="D66" t="s">
        <v>12</v>
      </c>
      <c r="E66" t="s">
        <v>24</v>
      </c>
      <c r="F66" t="s">
        <v>31</v>
      </c>
      <c r="G66" t="s">
        <v>15</v>
      </c>
      <c r="H66">
        <v>2</v>
      </c>
      <c r="I66">
        <v>305.73</v>
      </c>
      <c r="J66">
        <v>10</v>
      </c>
      <c r="K66">
        <v>611.46</v>
      </c>
    </row>
    <row r="67" spans="1:11">
      <c r="A67">
        <v>10572</v>
      </c>
      <c r="B67" s="1">
        <v>45728</v>
      </c>
      <c r="C67" t="s">
        <v>11</v>
      </c>
      <c r="D67" t="s">
        <v>12</v>
      </c>
      <c r="E67" t="s">
        <v>27</v>
      </c>
      <c r="F67" t="s">
        <v>33</v>
      </c>
      <c r="G67" t="s">
        <v>35</v>
      </c>
      <c r="H67">
        <v>2</v>
      </c>
      <c r="I67">
        <v>309.26</v>
      </c>
      <c r="J67">
        <v>10</v>
      </c>
      <c r="K67">
        <v>618.52</v>
      </c>
    </row>
    <row r="68" spans="1:11">
      <c r="A68">
        <v>10321</v>
      </c>
      <c r="B68" s="1">
        <v>45933</v>
      </c>
      <c r="C68" t="s">
        <v>11</v>
      </c>
      <c r="D68" t="s">
        <v>12</v>
      </c>
      <c r="E68" t="s">
        <v>27</v>
      </c>
      <c r="F68" t="s">
        <v>14</v>
      </c>
      <c r="G68" t="s">
        <v>15</v>
      </c>
      <c r="H68">
        <v>2</v>
      </c>
      <c r="I68">
        <v>309.69</v>
      </c>
      <c r="J68">
        <v>0</v>
      </c>
      <c r="K68">
        <v>619.38</v>
      </c>
    </row>
    <row r="69" spans="1:11">
      <c r="A69">
        <v>10441</v>
      </c>
      <c r="B69" s="1">
        <v>46022</v>
      </c>
      <c r="C69" t="s">
        <v>11</v>
      </c>
      <c r="D69" t="s">
        <v>12</v>
      </c>
      <c r="E69" t="s">
        <v>13</v>
      </c>
      <c r="F69" t="s">
        <v>28</v>
      </c>
      <c r="G69" t="s">
        <v>15</v>
      </c>
      <c r="H69">
        <v>2</v>
      </c>
      <c r="I69">
        <v>310.88</v>
      </c>
      <c r="J69">
        <v>10</v>
      </c>
      <c r="K69">
        <v>621.76</v>
      </c>
    </row>
    <row r="70" spans="1:11">
      <c r="A70">
        <v>10474</v>
      </c>
      <c r="B70" s="1">
        <v>45948</v>
      </c>
      <c r="C70" t="s">
        <v>16</v>
      </c>
      <c r="D70" t="s">
        <v>17</v>
      </c>
      <c r="E70" t="s">
        <v>24</v>
      </c>
      <c r="F70" t="s">
        <v>14</v>
      </c>
      <c r="G70" t="s">
        <v>35</v>
      </c>
      <c r="H70">
        <v>3</v>
      </c>
      <c r="I70">
        <v>207.38</v>
      </c>
      <c r="J70">
        <v>10</v>
      </c>
      <c r="K70">
        <v>622.14</v>
      </c>
    </row>
    <row r="71" spans="1:11">
      <c r="A71">
        <v>10218</v>
      </c>
      <c r="B71" s="1">
        <v>45699</v>
      </c>
      <c r="C71" t="s">
        <v>16</v>
      </c>
      <c r="D71" t="s">
        <v>17</v>
      </c>
      <c r="E71" t="s">
        <v>13</v>
      </c>
      <c r="F71" t="s">
        <v>14</v>
      </c>
      <c r="G71" t="s">
        <v>15</v>
      </c>
      <c r="H71">
        <v>3</v>
      </c>
      <c r="I71">
        <v>207.57</v>
      </c>
      <c r="J71">
        <v>20</v>
      </c>
      <c r="K71">
        <v>622.71</v>
      </c>
    </row>
    <row r="72" spans="1:11">
      <c r="A72">
        <v>10571</v>
      </c>
      <c r="B72" s="1">
        <v>45969</v>
      </c>
      <c r="C72" t="s">
        <v>16</v>
      </c>
      <c r="D72" t="s">
        <v>17</v>
      </c>
      <c r="E72" t="s">
        <v>18</v>
      </c>
      <c r="F72" t="s">
        <v>30</v>
      </c>
      <c r="G72" t="s">
        <v>19</v>
      </c>
      <c r="H72">
        <v>3</v>
      </c>
      <c r="I72">
        <v>208.36</v>
      </c>
      <c r="J72">
        <v>5</v>
      </c>
      <c r="K72">
        <v>625.08000000000004</v>
      </c>
    </row>
    <row r="73" spans="1:11">
      <c r="A73">
        <v>10370</v>
      </c>
      <c r="B73" s="1">
        <v>45946</v>
      </c>
      <c r="C73" t="s">
        <v>34</v>
      </c>
      <c r="D73" t="s">
        <v>12</v>
      </c>
      <c r="E73" t="s">
        <v>27</v>
      </c>
      <c r="F73" t="s">
        <v>30</v>
      </c>
      <c r="G73" t="s">
        <v>19</v>
      </c>
      <c r="H73">
        <v>1</v>
      </c>
      <c r="I73">
        <v>759.89</v>
      </c>
      <c r="J73">
        <v>0</v>
      </c>
      <c r="K73">
        <v>759.89</v>
      </c>
    </row>
    <row r="74" spans="1:11">
      <c r="A74">
        <v>10480</v>
      </c>
      <c r="B74" s="1">
        <v>45808</v>
      </c>
      <c r="C74" t="s">
        <v>34</v>
      </c>
      <c r="D74" t="s">
        <v>12</v>
      </c>
      <c r="E74" t="s">
        <v>24</v>
      </c>
      <c r="F74" t="s">
        <v>30</v>
      </c>
      <c r="G74" t="s">
        <v>19</v>
      </c>
      <c r="H74">
        <v>1</v>
      </c>
      <c r="I74">
        <v>764.98</v>
      </c>
      <c r="J74">
        <v>0</v>
      </c>
      <c r="K74">
        <v>764.98</v>
      </c>
    </row>
    <row r="75" spans="1:11">
      <c r="A75">
        <v>10453</v>
      </c>
      <c r="B75" s="1">
        <v>45691</v>
      </c>
      <c r="C75" t="s">
        <v>34</v>
      </c>
      <c r="D75" t="s">
        <v>12</v>
      </c>
      <c r="E75" t="s">
        <v>18</v>
      </c>
      <c r="F75" t="s">
        <v>22</v>
      </c>
      <c r="G75" t="s">
        <v>19</v>
      </c>
      <c r="H75">
        <v>1</v>
      </c>
      <c r="I75">
        <v>766.4</v>
      </c>
      <c r="J75">
        <v>20</v>
      </c>
      <c r="K75">
        <v>766.4</v>
      </c>
    </row>
    <row r="76" spans="1:11">
      <c r="A76">
        <v>10083</v>
      </c>
      <c r="B76" s="1">
        <v>45673</v>
      </c>
      <c r="C76" t="s">
        <v>34</v>
      </c>
      <c r="D76" t="s">
        <v>12</v>
      </c>
      <c r="E76" t="s">
        <v>18</v>
      </c>
      <c r="F76" t="s">
        <v>14</v>
      </c>
      <c r="G76" t="s">
        <v>15</v>
      </c>
      <c r="H76">
        <v>1</v>
      </c>
      <c r="I76">
        <v>778.11</v>
      </c>
      <c r="J76">
        <v>5</v>
      </c>
      <c r="K76">
        <v>778.11</v>
      </c>
    </row>
    <row r="77" spans="1:11">
      <c r="A77">
        <v>10021</v>
      </c>
      <c r="B77" s="1">
        <v>45715</v>
      </c>
      <c r="C77" t="s">
        <v>34</v>
      </c>
      <c r="D77" t="s">
        <v>12</v>
      </c>
      <c r="E77" t="s">
        <v>13</v>
      </c>
      <c r="F77" t="s">
        <v>30</v>
      </c>
      <c r="G77" t="s">
        <v>15</v>
      </c>
      <c r="H77">
        <v>1</v>
      </c>
      <c r="I77">
        <v>778.3</v>
      </c>
      <c r="J77">
        <v>10</v>
      </c>
      <c r="K77">
        <v>778.3</v>
      </c>
    </row>
    <row r="78" spans="1:11">
      <c r="A78">
        <v>10395</v>
      </c>
      <c r="B78" s="1">
        <v>45949</v>
      </c>
      <c r="C78" t="s">
        <v>34</v>
      </c>
      <c r="D78" t="s">
        <v>12</v>
      </c>
      <c r="E78" t="s">
        <v>13</v>
      </c>
      <c r="F78" t="s">
        <v>33</v>
      </c>
      <c r="G78" t="s">
        <v>19</v>
      </c>
      <c r="H78">
        <v>1</v>
      </c>
      <c r="I78">
        <v>784.91</v>
      </c>
      <c r="J78">
        <v>15</v>
      </c>
      <c r="K78">
        <v>784.91</v>
      </c>
    </row>
    <row r="79" spans="1:11">
      <c r="A79">
        <v>10047</v>
      </c>
      <c r="B79" s="1">
        <v>45705</v>
      </c>
      <c r="C79" t="s">
        <v>34</v>
      </c>
      <c r="D79" t="s">
        <v>12</v>
      </c>
      <c r="E79" t="s">
        <v>27</v>
      </c>
      <c r="F79" t="s">
        <v>30</v>
      </c>
      <c r="G79" t="s">
        <v>15</v>
      </c>
      <c r="H79">
        <v>1</v>
      </c>
      <c r="I79">
        <v>785.7</v>
      </c>
      <c r="J79">
        <v>0</v>
      </c>
      <c r="K79">
        <v>785.7</v>
      </c>
    </row>
    <row r="80" spans="1:11">
      <c r="A80">
        <v>10342</v>
      </c>
      <c r="B80" s="1">
        <v>45984</v>
      </c>
      <c r="C80" t="s">
        <v>34</v>
      </c>
      <c r="D80" t="s">
        <v>12</v>
      </c>
      <c r="E80" t="s">
        <v>24</v>
      </c>
      <c r="F80" t="s">
        <v>22</v>
      </c>
      <c r="G80" t="s">
        <v>15</v>
      </c>
      <c r="H80">
        <v>1</v>
      </c>
      <c r="I80">
        <v>798.99</v>
      </c>
      <c r="J80">
        <v>5</v>
      </c>
      <c r="K80">
        <v>798.99</v>
      </c>
    </row>
    <row r="81" spans="1:11">
      <c r="A81">
        <v>10088</v>
      </c>
      <c r="B81" s="1">
        <v>45835</v>
      </c>
      <c r="C81" t="s">
        <v>34</v>
      </c>
      <c r="D81" t="s">
        <v>12</v>
      </c>
      <c r="E81" t="s">
        <v>27</v>
      </c>
      <c r="F81" t="s">
        <v>22</v>
      </c>
      <c r="G81" t="s">
        <v>19</v>
      </c>
      <c r="H81">
        <v>1</v>
      </c>
      <c r="I81">
        <v>799.48</v>
      </c>
      <c r="J81">
        <v>0</v>
      </c>
      <c r="K81">
        <v>799.48</v>
      </c>
    </row>
    <row r="82" spans="1:11">
      <c r="A82">
        <v>10027</v>
      </c>
      <c r="B82" s="1">
        <v>45775</v>
      </c>
      <c r="C82" t="s">
        <v>34</v>
      </c>
      <c r="D82" t="s">
        <v>12</v>
      </c>
      <c r="E82" t="s">
        <v>24</v>
      </c>
      <c r="F82" t="s">
        <v>28</v>
      </c>
      <c r="G82" t="s">
        <v>19</v>
      </c>
      <c r="H82">
        <v>1</v>
      </c>
      <c r="I82">
        <v>800.13</v>
      </c>
      <c r="J82">
        <v>0</v>
      </c>
      <c r="K82">
        <v>800.13</v>
      </c>
    </row>
    <row r="83" spans="1:11">
      <c r="A83">
        <v>10338</v>
      </c>
      <c r="B83" s="1">
        <v>45915</v>
      </c>
      <c r="C83" t="s">
        <v>34</v>
      </c>
      <c r="D83" t="s">
        <v>12</v>
      </c>
      <c r="E83" t="s">
        <v>27</v>
      </c>
      <c r="F83" t="s">
        <v>14</v>
      </c>
      <c r="G83" t="s">
        <v>15</v>
      </c>
      <c r="H83">
        <v>1</v>
      </c>
      <c r="I83">
        <v>800.95</v>
      </c>
      <c r="J83">
        <v>0</v>
      </c>
      <c r="K83">
        <v>800.95</v>
      </c>
    </row>
    <row r="84" spans="1:11">
      <c r="A84">
        <v>10426</v>
      </c>
      <c r="B84" s="1">
        <v>45816</v>
      </c>
      <c r="C84" t="s">
        <v>34</v>
      </c>
      <c r="D84" t="s">
        <v>12</v>
      </c>
      <c r="E84" t="s">
        <v>18</v>
      </c>
      <c r="F84" t="s">
        <v>28</v>
      </c>
      <c r="G84" t="s">
        <v>15</v>
      </c>
      <c r="H84">
        <v>1</v>
      </c>
      <c r="I84">
        <v>815.1</v>
      </c>
      <c r="J84">
        <v>0</v>
      </c>
      <c r="K84">
        <v>815.1</v>
      </c>
    </row>
    <row r="85" spans="1:11">
      <c r="A85">
        <v>10082</v>
      </c>
      <c r="B85" s="1">
        <v>45934</v>
      </c>
      <c r="C85" t="s">
        <v>34</v>
      </c>
      <c r="D85" t="s">
        <v>12</v>
      </c>
      <c r="E85" t="s">
        <v>24</v>
      </c>
      <c r="F85" t="s">
        <v>30</v>
      </c>
      <c r="G85" t="s">
        <v>15</v>
      </c>
      <c r="H85">
        <v>1</v>
      </c>
      <c r="I85">
        <v>821.47</v>
      </c>
      <c r="J85">
        <v>15</v>
      </c>
      <c r="K85">
        <v>821.47</v>
      </c>
    </row>
    <row r="86" spans="1:11">
      <c r="A86">
        <v>10365</v>
      </c>
      <c r="B86" s="1">
        <v>45894</v>
      </c>
      <c r="C86" t="s">
        <v>34</v>
      </c>
      <c r="D86" t="s">
        <v>12</v>
      </c>
      <c r="E86" t="s">
        <v>18</v>
      </c>
      <c r="F86" t="s">
        <v>31</v>
      </c>
      <c r="G86" t="s">
        <v>19</v>
      </c>
      <c r="H86">
        <v>1</v>
      </c>
      <c r="I86">
        <v>824.49</v>
      </c>
      <c r="J86">
        <v>20</v>
      </c>
      <c r="K86">
        <v>824.49</v>
      </c>
    </row>
    <row r="87" spans="1:11">
      <c r="A87">
        <v>10147</v>
      </c>
      <c r="B87" s="1">
        <v>45954</v>
      </c>
      <c r="C87" t="s">
        <v>34</v>
      </c>
      <c r="D87" t="s">
        <v>12</v>
      </c>
      <c r="E87" t="s">
        <v>13</v>
      </c>
      <c r="F87" t="s">
        <v>22</v>
      </c>
      <c r="G87" t="s">
        <v>15</v>
      </c>
      <c r="H87">
        <v>1</v>
      </c>
      <c r="I87">
        <v>831.73</v>
      </c>
      <c r="J87">
        <v>0</v>
      </c>
      <c r="K87">
        <v>831.73</v>
      </c>
    </row>
    <row r="88" spans="1:11">
      <c r="A88">
        <v>10238</v>
      </c>
      <c r="B88" s="1">
        <v>45696</v>
      </c>
      <c r="C88" t="s">
        <v>34</v>
      </c>
      <c r="D88" t="s">
        <v>12</v>
      </c>
      <c r="E88" t="s">
        <v>27</v>
      </c>
      <c r="F88" t="s">
        <v>30</v>
      </c>
      <c r="G88" t="s">
        <v>35</v>
      </c>
      <c r="H88">
        <v>1</v>
      </c>
      <c r="I88">
        <v>835.18</v>
      </c>
      <c r="J88">
        <v>0</v>
      </c>
      <c r="K88">
        <v>835.18</v>
      </c>
    </row>
    <row r="89" spans="1:11">
      <c r="A89">
        <v>10568</v>
      </c>
      <c r="B89" s="1">
        <v>45982</v>
      </c>
      <c r="C89" t="s">
        <v>34</v>
      </c>
      <c r="D89" t="s">
        <v>12</v>
      </c>
      <c r="E89" t="s">
        <v>24</v>
      </c>
      <c r="F89" t="s">
        <v>31</v>
      </c>
      <c r="G89" t="s">
        <v>19</v>
      </c>
      <c r="H89">
        <v>1</v>
      </c>
      <c r="I89">
        <v>836.06</v>
      </c>
      <c r="J89">
        <v>0</v>
      </c>
      <c r="K89">
        <v>836.06</v>
      </c>
    </row>
    <row r="90" spans="1:11">
      <c r="A90">
        <v>10577</v>
      </c>
      <c r="B90" s="1">
        <v>46001</v>
      </c>
      <c r="C90" t="s">
        <v>34</v>
      </c>
      <c r="D90" t="s">
        <v>12</v>
      </c>
      <c r="E90" t="s">
        <v>24</v>
      </c>
      <c r="F90" t="s">
        <v>14</v>
      </c>
      <c r="G90" t="s">
        <v>19</v>
      </c>
      <c r="H90">
        <v>1</v>
      </c>
      <c r="I90">
        <v>837.63</v>
      </c>
      <c r="J90">
        <v>15</v>
      </c>
      <c r="K90">
        <v>837.63</v>
      </c>
    </row>
    <row r="91" spans="1:11">
      <c r="A91">
        <v>10576</v>
      </c>
      <c r="B91" s="1">
        <v>45804</v>
      </c>
      <c r="C91" t="s">
        <v>29</v>
      </c>
      <c r="D91" t="s">
        <v>26</v>
      </c>
      <c r="E91" t="s">
        <v>27</v>
      </c>
      <c r="F91" t="s">
        <v>28</v>
      </c>
      <c r="G91" t="s">
        <v>35</v>
      </c>
      <c r="H91">
        <v>1</v>
      </c>
      <c r="I91">
        <v>856.32</v>
      </c>
      <c r="J91">
        <v>0</v>
      </c>
      <c r="K91">
        <v>856.32</v>
      </c>
    </row>
    <row r="92" spans="1:11">
      <c r="A92">
        <v>10357</v>
      </c>
      <c r="B92" s="1">
        <v>45782</v>
      </c>
      <c r="C92" t="s">
        <v>29</v>
      </c>
      <c r="D92" t="s">
        <v>26</v>
      </c>
      <c r="E92" t="s">
        <v>18</v>
      </c>
      <c r="F92" t="s">
        <v>22</v>
      </c>
      <c r="G92" t="s">
        <v>19</v>
      </c>
      <c r="H92">
        <v>1</v>
      </c>
      <c r="I92">
        <v>866.53</v>
      </c>
      <c r="J92">
        <v>0</v>
      </c>
      <c r="K92">
        <v>866.53</v>
      </c>
    </row>
    <row r="93" spans="1:11">
      <c r="A93">
        <v>10638</v>
      </c>
      <c r="B93" s="1">
        <v>45916</v>
      </c>
      <c r="C93" t="s">
        <v>29</v>
      </c>
      <c r="D93" t="s">
        <v>26</v>
      </c>
      <c r="E93" t="s">
        <v>27</v>
      </c>
      <c r="F93" t="s">
        <v>14</v>
      </c>
      <c r="G93" t="s">
        <v>35</v>
      </c>
      <c r="H93">
        <v>1</v>
      </c>
      <c r="I93">
        <v>870</v>
      </c>
      <c r="J93">
        <v>10</v>
      </c>
      <c r="K93">
        <v>870</v>
      </c>
    </row>
    <row r="94" spans="1:11">
      <c r="A94">
        <v>10377</v>
      </c>
      <c r="B94" s="1">
        <v>45876</v>
      </c>
      <c r="C94" t="s">
        <v>29</v>
      </c>
      <c r="D94" t="s">
        <v>26</v>
      </c>
      <c r="E94" t="s">
        <v>27</v>
      </c>
      <c r="F94" t="s">
        <v>14</v>
      </c>
      <c r="G94" t="s">
        <v>19</v>
      </c>
      <c r="H94">
        <v>1</v>
      </c>
      <c r="I94">
        <v>870.81</v>
      </c>
      <c r="J94">
        <v>15</v>
      </c>
      <c r="K94">
        <v>870.81</v>
      </c>
    </row>
    <row r="95" spans="1:11">
      <c r="A95">
        <v>10121</v>
      </c>
      <c r="B95" s="1">
        <v>45843</v>
      </c>
      <c r="C95" t="s">
        <v>29</v>
      </c>
      <c r="D95" t="s">
        <v>26</v>
      </c>
      <c r="E95" t="s">
        <v>27</v>
      </c>
      <c r="F95" t="s">
        <v>22</v>
      </c>
      <c r="G95" t="s">
        <v>19</v>
      </c>
      <c r="H95">
        <v>1</v>
      </c>
      <c r="I95">
        <v>872.35</v>
      </c>
      <c r="J95">
        <v>10</v>
      </c>
      <c r="K95">
        <v>872.35</v>
      </c>
    </row>
    <row r="96" spans="1:11">
      <c r="A96">
        <v>10193</v>
      </c>
      <c r="B96" s="1">
        <v>45919</v>
      </c>
      <c r="C96" t="s">
        <v>29</v>
      </c>
      <c r="D96" t="s">
        <v>26</v>
      </c>
      <c r="E96" t="s">
        <v>18</v>
      </c>
      <c r="F96" t="s">
        <v>30</v>
      </c>
      <c r="G96" t="s">
        <v>19</v>
      </c>
      <c r="H96">
        <v>1</v>
      </c>
      <c r="I96">
        <v>875.29</v>
      </c>
      <c r="J96">
        <v>0</v>
      </c>
      <c r="K96">
        <v>875.29</v>
      </c>
    </row>
    <row r="97" spans="1:11">
      <c r="A97">
        <v>10533</v>
      </c>
      <c r="B97" s="1">
        <v>45959</v>
      </c>
      <c r="C97" t="s">
        <v>29</v>
      </c>
      <c r="D97" t="s">
        <v>26</v>
      </c>
      <c r="E97" t="s">
        <v>13</v>
      </c>
      <c r="F97" t="s">
        <v>14</v>
      </c>
      <c r="G97" t="s">
        <v>15</v>
      </c>
      <c r="H97">
        <v>1</v>
      </c>
      <c r="I97">
        <v>880.86</v>
      </c>
      <c r="J97">
        <v>0</v>
      </c>
      <c r="K97">
        <v>880.86</v>
      </c>
    </row>
    <row r="98" spans="1:11">
      <c r="A98">
        <v>10204</v>
      </c>
      <c r="B98" s="1">
        <v>46005</v>
      </c>
      <c r="C98" t="s">
        <v>29</v>
      </c>
      <c r="D98" t="s">
        <v>26</v>
      </c>
      <c r="E98" t="s">
        <v>27</v>
      </c>
      <c r="F98" t="s">
        <v>30</v>
      </c>
      <c r="G98" t="s">
        <v>19</v>
      </c>
      <c r="H98">
        <v>1</v>
      </c>
      <c r="I98">
        <v>884.02</v>
      </c>
      <c r="J98">
        <v>10</v>
      </c>
      <c r="K98">
        <v>884.02</v>
      </c>
    </row>
    <row r="99" spans="1:11">
      <c r="A99">
        <v>10267</v>
      </c>
      <c r="B99" s="1">
        <v>45757</v>
      </c>
      <c r="C99" t="s">
        <v>29</v>
      </c>
      <c r="D99" t="s">
        <v>26</v>
      </c>
      <c r="E99" t="s">
        <v>13</v>
      </c>
      <c r="F99" t="s">
        <v>33</v>
      </c>
      <c r="G99" t="s">
        <v>19</v>
      </c>
      <c r="H99">
        <v>1</v>
      </c>
      <c r="I99">
        <v>888.78</v>
      </c>
      <c r="J99">
        <v>5</v>
      </c>
      <c r="K99">
        <v>888.78</v>
      </c>
    </row>
    <row r="100" spans="1:11">
      <c r="A100">
        <v>10301</v>
      </c>
      <c r="B100" s="1">
        <v>45902</v>
      </c>
      <c r="C100" t="s">
        <v>11</v>
      </c>
      <c r="D100" t="s">
        <v>12</v>
      </c>
      <c r="E100" t="s">
        <v>18</v>
      </c>
      <c r="F100" t="s">
        <v>31</v>
      </c>
      <c r="G100" t="s">
        <v>35</v>
      </c>
      <c r="H100">
        <v>3</v>
      </c>
      <c r="I100">
        <v>296.48</v>
      </c>
      <c r="J100">
        <v>10</v>
      </c>
      <c r="K100">
        <v>889.44</v>
      </c>
    </row>
    <row r="101" spans="1:11">
      <c r="A101">
        <v>10188</v>
      </c>
      <c r="B101" s="1">
        <v>45944</v>
      </c>
      <c r="C101" t="s">
        <v>29</v>
      </c>
      <c r="D101" t="s">
        <v>26</v>
      </c>
      <c r="E101" t="s">
        <v>13</v>
      </c>
      <c r="F101" t="s">
        <v>28</v>
      </c>
      <c r="G101" t="s">
        <v>19</v>
      </c>
      <c r="H101">
        <v>1</v>
      </c>
      <c r="I101">
        <v>893.27</v>
      </c>
      <c r="J101">
        <v>5</v>
      </c>
      <c r="K101">
        <v>893.27</v>
      </c>
    </row>
    <row r="102" spans="1:11">
      <c r="A102">
        <v>10541</v>
      </c>
      <c r="B102" s="1">
        <v>45974</v>
      </c>
      <c r="C102" t="s">
        <v>29</v>
      </c>
      <c r="D102" t="s">
        <v>26</v>
      </c>
      <c r="E102" t="s">
        <v>24</v>
      </c>
      <c r="F102" t="s">
        <v>30</v>
      </c>
      <c r="G102" t="s">
        <v>15</v>
      </c>
      <c r="H102">
        <v>1</v>
      </c>
      <c r="I102">
        <v>898.8</v>
      </c>
      <c r="J102">
        <v>10</v>
      </c>
      <c r="K102">
        <v>898.8</v>
      </c>
    </row>
    <row r="103" spans="1:11">
      <c r="A103">
        <v>10057</v>
      </c>
      <c r="B103" s="1">
        <v>45827</v>
      </c>
      <c r="C103" t="s">
        <v>29</v>
      </c>
      <c r="D103" t="s">
        <v>26</v>
      </c>
      <c r="E103" t="s">
        <v>24</v>
      </c>
      <c r="F103" t="s">
        <v>28</v>
      </c>
      <c r="G103" t="s">
        <v>19</v>
      </c>
      <c r="H103">
        <v>1</v>
      </c>
      <c r="I103">
        <v>906.25</v>
      </c>
      <c r="J103">
        <v>0</v>
      </c>
      <c r="K103">
        <v>906.25</v>
      </c>
    </row>
    <row r="104" spans="1:11">
      <c r="A104">
        <v>10512</v>
      </c>
      <c r="B104" s="1">
        <v>45668</v>
      </c>
      <c r="C104" t="s">
        <v>29</v>
      </c>
      <c r="D104" t="s">
        <v>26</v>
      </c>
      <c r="E104" t="s">
        <v>24</v>
      </c>
      <c r="F104" t="s">
        <v>31</v>
      </c>
      <c r="G104" t="s">
        <v>15</v>
      </c>
      <c r="H104">
        <v>1</v>
      </c>
      <c r="I104">
        <v>908.09</v>
      </c>
      <c r="J104">
        <v>0</v>
      </c>
      <c r="K104">
        <v>908.09</v>
      </c>
    </row>
    <row r="105" spans="1:11">
      <c r="A105">
        <v>10015</v>
      </c>
      <c r="B105" s="1">
        <v>45910</v>
      </c>
      <c r="C105" t="s">
        <v>29</v>
      </c>
      <c r="D105" t="s">
        <v>26</v>
      </c>
      <c r="E105" t="s">
        <v>24</v>
      </c>
      <c r="F105" t="s">
        <v>28</v>
      </c>
      <c r="G105" t="s">
        <v>15</v>
      </c>
      <c r="H105">
        <v>1</v>
      </c>
      <c r="I105">
        <v>910.46</v>
      </c>
      <c r="J105">
        <v>20</v>
      </c>
      <c r="K105">
        <v>910.46</v>
      </c>
    </row>
    <row r="106" spans="1:11">
      <c r="A106">
        <v>10226</v>
      </c>
      <c r="B106" s="1">
        <v>45917</v>
      </c>
      <c r="C106" t="s">
        <v>29</v>
      </c>
      <c r="D106" t="s">
        <v>26</v>
      </c>
      <c r="E106" t="s">
        <v>24</v>
      </c>
      <c r="F106" t="s">
        <v>31</v>
      </c>
      <c r="G106" t="s">
        <v>19</v>
      </c>
      <c r="H106">
        <v>1</v>
      </c>
      <c r="I106">
        <v>911.2</v>
      </c>
      <c r="J106">
        <v>0</v>
      </c>
      <c r="K106">
        <v>911.2</v>
      </c>
    </row>
    <row r="107" spans="1:11">
      <c r="A107">
        <v>10620</v>
      </c>
      <c r="B107" s="1">
        <v>45704</v>
      </c>
      <c r="C107" t="s">
        <v>29</v>
      </c>
      <c r="D107" t="s">
        <v>26</v>
      </c>
      <c r="E107" t="s">
        <v>27</v>
      </c>
      <c r="F107" t="s">
        <v>30</v>
      </c>
      <c r="G107" t="s">
        <v>35</v>
      </c>
      <c r="H107">
        <v>1</v>
      </c>
      <c r="I107">
        <v>913.62</v>
      </c>
      <c r="J107">
        <v>20</v>
      </c>
      <c r="K107">
        <v>913.62</v>
      </c>
    </row>
    <row r="108" spans="1:11">
      <c r="A108">
        <v>10574</v>
      </c>
      <c r="B108" s="1">
        <v>46021</v>
      </c>
      <c r="C108" t="s">
        <v>11</v>
      </c>
      <c r="D108" t="s">
        <v>12</v>
      </c>
      <c r="E108" t="s">
        <v>18</v>
      </c>
      <c r="F108" t="s">
        <v>33</v>
      </c>
      <c r="G108" t="s">
        <v>35</v>
      </c>
      <c r="H108">
        <v>3</v>
      </c>
      <c r="I108">
        <v>305.29000000000002</v>
      </c>
      <c r="J108">
        <v>20</v>
      </c>
      <c r="K108">
        <v>915.87</v>
      </c>
    </row>
    <row r="109" spans="1:11">
      <c r="A109">
        <v>10569</v>
      </c>
      <c r="B109" s="1">
        <v>45682</v>
      </c>
      <c r="C109" t="s">
        <v>29</v>
      </c>
      <c r="D109" t="s">
        <v>26</v>
      </c>
      <c r="E109" t="s">
        <v>27</v>
      </c>
      <c r="F109" t="s">
        <v>33</v>
      </c>
      <c r="G109" t="s">
        <v>19</v>
      </c>
      <c r="H109">
        <v>1</v>
      </c>
      <c r="I109">
        <v>916.24</v>
      </c>
      <c r="J109">
        <v>0</v>
      </c>
      <c r="K109">
        <v>916.24</v>
      </c>
    </row>
    <row r="110" spans="1:11">
      <c r="A110">
        <v>10149</v>
      </c>
      <c r="B110" s="1">
        <v>45789</v>
      </c>
      <c r="C110" t="s">
        <v>11</v>
      </c>
      <c r="D110" t="s">
        <v>12</v>
      </c>
      <c r="E110" t="s">
        <v>27</v>
      </c>
      <c r="F110" t="s">
        <v>30</v>
      </c>
      <c r="G110" t="s">
        <v>35</v>
      </c>
      <c r="H110">
        <v>3</v>
      </c>
      <c r="I110">
        <v>308.10000000000002</v>
      </c>
      <c r="J110">
        <v>5</v>
      </c>
      <c r="K110">
        <v>924.3</v>
      </c>
    </row>
    <row r="111" spans="1:11">
      <c r="A111">
        <v>10417</v>
      </c>
      <c r="B111" s="1">
        <v>45754</v>
      </c>
      <c r="C111" t="s">
        <v>29</v>
      </c>
      <c r="D111" t="s">
        <v>26</v>
      </c>
      <c r="E111" t="s">
        <v>27</v>
      </c>
      <c r="F111" t="s">
        <v>30</v>
      </c>
      <c r="G111" t="s">
        <v>35</v>
      </c>
      <c r="H111">
        <v>1</v>
      </c>
      <c r="I111">
        <v>924.51</v>
      </c>
      <c r="J111">
        <v>20</v>
      </c>
      <c r="K111">
        <v>924.51</v>
      </c>
    </row>
    <row r="112" spans="1:11">
      <c r="A112">
        <v>10161</v>
      </c>
      <c r="B112" s="1">
        <v>45764</v>
      </c>
      <c r="C112" t="s">
        <v>29</v>
      </c>
      <c r="D112" t="s">
        <v>26</v>
      </c>
      <c r="E112" t="s">
        <v>18</v>
      </c>
      <c r="F112" t="s">
        <v>14</v>
      </c>
      <c r="G112" t="s">
        <v>19</v>
      </c>
      <c r="H112">
        <v>1</v>
      </c>
      <c r="I112">
        <v>924.95</v>
      </c>
      <c r="J112">
        <v>10</v>
      </c>
      <c r="K112">
        <v>924.95</v>
      </c>
    </row>
    <row r="113" spans="1:11">
      <c r="A113">
        <v>10246</v>
      </c>
      <c r="B113" s="1">
        <v>45806</v>
      </c>
      <c r="C113" t="s">
        <v>29</v>
      </c>
      <c r="D113" t="s">
        <v>26</v>
      </c>
      <c r="E113" t="s">
        <v>13</v>
      </c>
      <c r="F113" t="s">
        <v>14</v>
      </c>
      <c r="G113" t="s">
        <v>35</v>
      </c>
      <c r="H113">
        <v>1</v>
      </c>
      <c r="I113">
        <v>925.4</v>
      </c>
      <c r="J113">
        <v>10</v>
      </c>
      <c r="K113">
        <v>925.4</v>
      </c>
    </row>
    <row r="114" spans="1:11">
      <c r="A114">
        <v>10650</v>
      </c>
      <c r="B114" s="1">
        <v>45972</v>
      </c>
      <c r="C114" t="s">
        <v>29</v>
      </c>
      <c r="D114" t="s">
        <v>26</v>
      </c>
      <c r="E114" t="s">
        <v>24</v>
      </c>
      <c r="F114" t="s">
        <v>14</v>
      </c>
      <c r="G114" t="s">
        <v>19</v>
      </c>
      <c r="H114">
        <v>1</v>
      </c>
      <c r="I114">
        <v>926.36</v>
      </c>
      <c r="J114">
        <v>20</v>
      </c>
      <c r="K114">
        <v>926.36</v>
      </c>
    </row>
    <row r="115" spans="1:11">
      <c r="A115">
        <v>10251</v>
      </c>
      <c r="B115" s="1">
        <v>45985</v>
      </c>
      <c r="C115" t="s">
        <v>29</v>
      </c>
      <c r="D115" t="s">
        <v>26</v>
      </c>
      <c r="E115" t="s">
        <v>18</v>
      </c>
      <c r="F115" t="s">
        <v>14</v>
      </c>
      <c r="G115" t="s">
        <v>19</v>
      </c>
      <c r="H115">
        <v>1</v>
      </c>
      <c r="I115">
        <v>928.79</v>
      </c>
      <c r="J115">
        <v>10</v>
      </c>
      <c r="K115">
        <v>928.79</v>
      </c>
    </row>
    <row r="116" spans="1:11">
      <c r="A116">
        <v>10037</v>
      </c>
      <c r="B116" s="1">
        <v>45929</v>
      </c>
      <c r="C116" t="s">
        <v>29</v>
      </c>
      <c r="D116" t="s">
        <v>26</v>
      </c>
      <c r="E116" t="s">
        <v>18</v>
      </c>
      <c r="F116" t="s">
        <v>28</v>
      </c>
      <c r="G116" t="s">
        <v>35</v>
      </c>
      <c r="H116">
        <v>1</v>
      </c>
      <c r="I116">
        <v>930.59</v>
      </c>
      <c r="J116">
        <v>0</v>
      </c>
      <c r="K116">
        <v>930.59</v>
      </c>
    </row>
    <row r="117" spans="1:11">
      <c r="A117">
        <v>10464</v>
      </c>
      <c r="B117" s="1">
        <v>45748</v>
      </c>
      <c r="C117" t="s">
        <v>11</v>
      </c>
      <c r="D117" t="s">
        <v>12</v>
      </c>
      <c r="E117" t="s">
        <v>18</v>
      </c>
      <c r="F117" t="s">
        <v>33</v>
      </c>
      <c r="G117" t="s">
        <v>19</v>
      </c>
      <c r="H117">
        <v>3</v>
      </c>
      <c r="I117">
        <v>311.38</v>
      </c>
      <c r="J117">
        <v>0</v>
      </c>
      <c r="K117">
        <v>934.14</v>
      </c>
    </row>
    <row r="118" spans="1:11">
      <c r="A118">
        <v>10636</v>
      </c>
      <c r="B118" s="1">
        <v>45977</v>
      </c>
      <c r="C118" t="s">
        <v>11</v>
      </c>
      <c r="D118" t="s">
        <v>12</v>
      </c>
      <c r="E118" t="s">
        <v>13</v>
      </c>
      <c r="F118" t="s">
        <v>14</v>
      </c>
      <c r="G118" t="s">
        <v>35</v>
      </c>
      <c r="H118">
        <v>3</v>
      </c>
      <c r="I118">
        <v>311.63</v>
      </c>
      <c r="J118">
        <v>10</v>
      </c>
      <c r="K118">
        <v>934.89</v>
      </c>
    </row>
    <row r="119" spans="1:11">
      <c r="A119">
        <v>10060</v>
      </c>
      <c r="B119" s="1">
        <v>46009</v>
      </c>
      <c r="C119" t="s">
        <v>29</v>
      </c>
      <c r="D119" t="s">
        <v>26</v>
      </c>
      <c r="E119" t="s">
        <v>18</v>
      </c>
      <c r="F119" t="s">
        <v>30</v>
      </c>
      <c r="G119" t="s">
        <v>19</v>
      </c>
      <c r="H119">
        <v>1</v>
      </c>
      <c r="I119">
        <v>939.35</v>
      </c>
      <c r="J119">
        <v>0</v>
      </c>
      <c r="K119">
        <v>939.35</v>
      </c>
    </row>
    <row r="120" spans="1:11">
      <c r="A120">
        <v>10345</v>
      </c>
      <c r="B120" s="1">
        <v>45946</v>
      </c>
      <c r="C120" t="s">
        <v>29</v>
      </c>
      <c r="D120" t="s">
        <v>26</v>
      </c>
      <c r="E120" t="s">
        <v>24</v>
      </c>
      <c r="F120" t="s">
        <v>14</v>
      </c>
      <c r="G120" t="s">
        <v>19</v>
      </c>
      <c r="H120">
        <v>1</v>
      </c>
      <c r="I120">
        <v>940.49</v>
      </c>
      <c r="J120">
        <v>10</v>
      </c>
      <c r="K120">
        <v>940.49</v>
      </c>
    </row>
    <row r="121" spans="1:11">
      <c r="A121">
        <v>10526</v>
      </c>
      <c r="B121" s="1">
        <v>45810</v>
      </c>
      <c r="C121" t="s">
        <v>29</v>
      </c>
      <c r="D121" t="s">
        <v>26</v>
      </c>
      <c r="E121" t="s">
        <v>27</v>
      </c>
      <c r="F121" t="s">
        <v>28</v>
      </c>
      <c r="G121" t="s">
        <v>15</v>
      </c>
      <c r="H121">
        <v>1</v>
      </c>
      <c r="I121">
        <v>943.26</v>
      </c>
      <c r="J121">
        <v>0</v>
      </c>
      <c r="K121">
        <v>943.26</v>
      </c>
    </row>
    <row r="122" spans="1:11">
      <c r="A122">
        <v>10290</v>
      </c>
      <c r="B122" s="1">
        <v>45677</v>
      </c>
      <c r="C122" t="s">
        <v>29</v>
      </c>
      <c r="D122" t="s">
        <v>26</v>
      </c>
      <c r="E122" t="s">
        <v>18</v>
      </c>
      <c r="F122" t="s">
        <v>31</v>
      </c>
      <c r="G122" t="s">
        <v>15</v>
      </c>
      <c r="H122">
        <v>1</v>
      </c>
      <c r="I122">
        <v>943.7</v>
      </c>
      <c r="J122">
        <v>5</v>
      </c>
      <c r="K122">
        <v>943.7</v>
      </c>
    </row>
    <row r="123" spans="1:11">
      <c r="A123">
        <v>10075</v>
      </c>
      <c r="B123" s="1">
        <v>45866</v>
      </c>
      <c r="C123" t="s">
        <v>16</v>
      </c>
      <c r="D123" t="s">
        <v>17</v>
      </c>
      <c r="E123" t="s">
        <v>13</v>
      </c>
      <c r="F123" t="s">
        <v>33</v>
      </c>
      <c r="G123" t="s">
        <v>19</v>
      </c>
      <c r="H123">
        <v>5</v>
      </c>
      <c r="I123">
        <v>190.29</v>
      </c>
      <c r="J123">
        <v>20</v>
      </c>
      <c r="K123">
        <v>951.45</v>
      </c>
    </row>
    <row r="124" spans="1:11">
      <c r="A124">
        <v>10034</v>
      </c>
      <c r="B124" s="1">
        <v>45688</v>
      </c>
      <c r="C124" t="s">
        <v>16</v>
      </c>
      <c r="D124" t="s">
        <v>17</v>
      </c>
      <c r="E124" t="s">
        <v>18</v>
      </c>
      <c r="F124" t="s">
        <v>31</v>
      </c>
      <c r="G124" t="s">
        <v>15</v>
      </c>
      <c r="H124">
        <v>5</v>
      </c>
      <c r="I124">
        <v>194.33</v>
      </c>
      <c r="J124">
        <v>20</v>
      </c>
      <c r="K124">
        <v>971.65</v>
      </c>
    </row>
    <row r="125" spans="1:11">
      <c r="A125">
        <v>10029</v>
      </c>
      <c r="B125" s="1">
        <v>45755</v>
      </c>
      <c r="C125" t="s">
        <v>16</v>
      </c>
      <c r="D125" t="s">
        <v>17</v>
      </c>
      <c r="E125" t="s">
        <v>24</v>
      </c>
      <c r="F125" t="s">
        <v>28</v>
      </c>
      <c r="G125" t="s">
        <v>35</v>
      </c>
      <c r="H125">
        <v>5</v>
      </c>
      <c r="I125">
        <v>196.1</v>
      </c>
      <c r="J125">
        <v>5</v>
      </c>
      <c r="K125">
        <v>980.5</v>
      </c>
    </row>
    <row r="126" spans="1:11">
      <c r="A126">
        <v>10130</v>
      </c>
      <c r="B126" s="1">
        <v>45680</v>
      </c>
      <c r="C126" t="s">
        <v>16</v>
      </c>
      <c r="D126" t="s">
        <v>17</v>
      </c>
      <c r="E126" t="s">
        <v>13</v>
      </c>
      <c r="F126" t="s">
        <v>22</v>
      </c>
      <c r="G126" t="s">
        <v>19</v>
      </c>
      <c r="H126">
        <v>5</v>
      </c>
      <c r="I126">
        <v>196.73</v>
      </c>
      <c r="J126">
        <v>15</v>
      </c>
      <c r="K126">
        <v>983.65</v>
      </c>
    </row>
    <row r="127" spans="1:11">
      <c r="A127">
        <v>10078</v>
      </c>
      <c r="B127" s="1">
        <v>45906</v>
      </c>
      <c r="C127" t="s">
        <v>16</v>
      </c>
      <c r="D127" t="s">
        <v>17</v>
      </c>
      <c r="E127" t="s">
        <v>24</v>
      </c>
      <c r="F127" t="s">
        <v>31</v>
      </c>
      <c r="G127" t="s">
        <v>19</v>
      </c>
      <c r="H127">
        <v>5</v>
      </c>
      <c r="I127">
        <v>203.46</v>
      </c>
      <c r="J127">
        <v>20</v>
      </c>
      <c r="K127">
        <v>1017.3</v>
      </c>
    </row>
    <row r="128" spans="1:11">
      <c r="A128">
        <v>10066</v>
      </c>
      <c r="B128" s="1">
        <v>46002</v>
      </c>
      <c r="C128" t="s">
        <v>32</v>
      </c>
      <c r="D128" t="s">
        <v>26</v>
      </c>
      <c r="E128" t="s">
        <v>13</v>
      </c>
      <c r="F128" t="s">
        <v>14</v>
      </c>
      <c r="G128" t="s">
        <v>15</v>
      </c>
      <c r="H128">
        <v>1</v>
      </c>
      <c r="I128">
        <v>1237.22</v>
      </c>
      <c r="J128">
        <v>0</v>
      </c>
      <c r="K128">
        <v>1237.22</v>
      </c>
    </row>
    <row r="129" spans="1:11">
      <c r="A129">
        <v>10036</v>
      </c>
      <c r="B129" s="1">
        <v>45687</v>
      </c>
      <c r="C129" t="s">
        <v>32</v>
      </c>
      <c r="D129" t="s">
        <v>26</v>
      </c>
      <c r="E129" t="s">
        <v>24</v>
      </c>
      <c r="F129" t="s">
        <v>22</v>
      </c>
      <c r="G129" t="s">
        <v>19</v>
      </c>
      <c r="H129">
        <v>1</v>
      </c>
      <c r="I129">
        <v>1240.56</v>
      </c>
      <c r="J129">
        <v>5</v>
      </c>
      <c r="K129">
        <v>1240.56</v>
      </c>
    </row>
    <row r="130" spans="1:11">
      <c r="A130">
        <v>10111</v>
      </c>
      <c r="B130" s="1">
        <v>45989</v>
      </c>
      <c r="C130" t="s">
        <v>32</v>
      </c>
      <c r="D130" t="s">
        <v>26</v>
      </c>
      <c r="E130" t="s">
        <v>18</v>
      </c>
      <c r="F130" t="s">
        <v>30</v>
      </c>
      <c r="G130" t="s">
        <v>15</v>
      </c>
      <c r="H130">
        <v>1</v>
      </c>
      <c r="I130">
        <v>1241.8</v>
      </c>
      <c r="J130">
        <v>20</v>
      </c>
      <c r="K130">
        <v>1241.8</v>
      </c>
    </row>
    <row r="131" spans="1:11">
      <c r="A131">
        <v>10445</v>
      </c>
      <c r="B131" s="1">
        <v>45696</v>
      </c>
      <c r="C131" t="s">
        <v>32</v>
      </c>
      <c r="D131" t="s">
        <v>26</v>
      </c>
      <c r="E131" t="s">
        <v>18</v>
      </c>
      <c r="F131" t="s">
        <v>14</v>
      </c>
      <c r="G131" t="s">
        <v>35</v>
      </c>
      <c r="H131">
        <v>1</v>
      </c>
      <c r="I131">
        <v>1254.24</v>
      </c>
      <c r="J131">
        <v>0</v>
      </c>
      <c r="K131">
        <v>1254.24</v>
      </c>
    </row>
    <row r="132" spans="1:11">
      <c r="A132">
        <v>10536</v>
      </c>
      <c r="B132" s="1">
        <v>45669</v>
      </c>
      <c r="C132" t="s">
        <v>32</v>
      </c>
      <c r="D132" t="s">
        <v>26</v>
      </c>
      <c r="E132" t="s">
        <v>18</v>
      </c>
      <c r="F132" t="s">
        <v>28</v>
      </c>
      <c r="G132" t="s">
        <v>19</v>
      </c>
      <c r="H132">
        <v>1</v>
      </c>
      <c r="I132">
        <v>1282.79</v>
      </c>
      <c r="J132">
        <v>15</v>
      </c>
      <c r="K132">
        <v>1282.79</v>
      </c>
    </row>
    <row r="133" spans="1:11">
      <c r="A133">
        <v>10031</v>
      </c>
      <c r="B133" s="1">
        <v>45756</v>
      </c>
      <c r="C133" t="s">
        <v>32</v>
      </c>
      <c r="D133" t="s">
        <v>26</v>
      </c>
      <c r="E133" t="s">
        <v>18</v>
      </c>
      <c r="F133" t="s">
        <v>33</v>
      </c>
      <c r="G133" t="s">
        <v>19</v>
      </c>
      <c r="H133">
        <v>1</v>
      </c>
      <c r="I133">
        <v>1288.8499999999999</v>
      </c>
      <c r="J133">
        <v>0</v>
      </c>
      <c r="K133">
        <v>1288.8499999999999</v>
      </c>
    </row>
    <row r="134" spans="1:11">
      <c r="A134">
        <v>10425</v>
      </c>
      <c r="B134" s="1">
        <v>45687</v>
      </c>
      <c r="C134" t="s">
        <v>32</v>
      </c>
      <c r="D134" t="s">
        <v>26</v>
      </c>
      <c r="E134" t="s">
        <v>18</v>
      </c>
      <c r="F134" t="s">
        <v>28</v>
      </c>
      <c r="G134" t="s">
        <v>19</v>
      </c>
      <c r="H134">
        <v>1</v>
      </c>
      <c r="I134">
        <v>1292.94</v>
      </c>
      <c r="J134">
        <v>10</v>
      </c>
      <c r="K134">
        <v>1292.94</v>
      </c>
    </row>
    <row r="135" spans="1:11">
      <c r="A135">
        <v>10124</v>
      </c>
      <c r="B135" s="1">
        <v>45716</v>
      </c>
      <c r="C135" t="s">
        <v>32</v>
      </c>
      <c r="D135" t="s">
        <v>26</v>
      </c>
      <c r="E135" t="s">
        <v>27</v>
      </c>
      <c r="F135" t="s">
        <v>28</v>
      </c>
      <c r="G135" t="s">
        <v>35</v>
      </c>
      <c r="H135">
        <v>1</v>
      </c>
      <c r="I135">
        <v>1298.79</v>
      </c>
      <c r="J135">
        <v>15</v>
      </c>
      <c r="K135">
        <v>1298.79</v>
      </c>
    </row>
    <row r="136" spans="1:11">
      <c r="A136">
        <v>10323</v>
      </c>
      <c r="B136" s="1">
        <v>45827</v>
      </c>
      <c r="C136" t="s">
        <v>32</v>
      </c>
      <c r="D136" t="s">
        <v>26</v>
      </c>
      <c r="E136" t="s">
        <v>24</v>
      </c>
      <c r="F136" t="s">
        <v>31</v>
      </c>
      <c r="G136" t="s">
        <v>19</v>
      </c>
      <c r="H136">
        <v>1</v>
      </c>
      <c r="I136">
        <v>1303.6300000000001</v>
      </c>
      <c r="J136">
        <v>20</v>
      </c>
      <c r="K136">
        <v>1303.6300000000001</v>
      </c>
    </row>
    <row r="137" spans="1:11">
      <c r="A137">
        <v>10529</v>
      </c>
      <c r="B137" s="1">
        <v>45744</v>
      </c>
      <c r="C137" t="s">
        <v>32</v>
      </c>
      <c r="D137" t="s">
        <v>26</v>
      </c>
      <c r="E137" t="s">
        <v>18</v>
      </c>
      <c r="F137" t="s">
        <v>31</v>
      </c>
      <c r="G137" t="s">
        <v>15</v>
      </c>
      <c r="H137">
        <v>1</v>
      </c>
      <c r="I137">
        <v>1313.87</v>
      </c>
      <c r="J137">
        <v>15</v>
      </c>
      <c r="K137">
        <v>1313.87</v>
      </c>
    </row>
    <row r="138" spans="1:11">
      <c r="A138">
        <v>10278</v>
      </c>
      <c r="B138" s="1">
        <v>45868</v>
      </c>
      <c r="C138" t="s">
        <v>32</v>
      </c>
      <c r="D138" t="s">
        <v>26</v>
      </c>
      <c r="E138" t="s">
        <v>27</v>
      </c>
      <c r="F138" t="s">
        <v>22</v>
      </c>
      <c r="G138" t="s">
        <v>35</v>
      </c>
      <c r="H138">
        <v>1</v>
      </c>
      <c r="I138">
        <v>1325.73</v>
      </c>
      <c r="J138">
        <v>10</v>
      </c>
      <c r="K138">
        <v>1325.73</v>
      </c>
    </row>
    <row r="139" spans="1:11">
      <c r="A139">
        <v>10477</v>
      </c>
      <c r="B139" s="1">
        <v>45785</v>
      </c>
      <c r="C139" t="s">
        <v>32</v>
      </c>
      <c r="D139" t="s">
        <v>26</v>
      </c>
      <c r="E139" t="s">
        <v>24</v>
      </c>
      <c r="F139" t="s">
        <v>30</v>
      </c>
      <c r="G139" t="s">
        <v>19</v>
      </c>
      <c r="H139">
        <v>1</v>
      </c>
      <c r="I139">
        <v>1327.63</v>
      </c>
      <c r="J139">
        <v>0</v>
      </c>
      <c r="K139">
        <v>1327.63</v>
      </c>
    </row>
    <row r="140" spans="1:11">
      <c r="A140">
        <v>10518</v>
      </c>
      <c r="B140" s="1">
        <v>45687</v>
      </c>
      <c r="C140" t="s">
        <v>32</v>
      </c>
      <c r="D140" t="s">
        <v>26</v>
      </c>
      <c r="E140" t="s">
        <v>27</v>
      </c>
      <c r="F140" t="s">
        <v>22</v>
      </c>
      <c r="G140" t="s">
        <v>19</v>
      </c>
      <c r="H140">
        <v>1</v>
      </c>
      <c r="I140">
        <v>1327.74</v>
      </c>
      <c r="J140">
        <v>15</v>
      </c>
      <c r="K140">
        <v>1327.74</v>
      </c>
    </row>
    <row r="141" spans="1:11">
      <c r="A141">
        <v>10562</v>
      </c>
      <c r="B141" s="1">
        <v>45993</v>
      </c>
      <c r="C141" t="s">
        <v>32</v>
      </c>
      <c r="D141" t="s">
        <v>26</v>
      </c>
      <c r="E141" t="s">
        <v>27</v>
      </c>
      <c r="F141" t="s">
        <v>30</v>
      </c>
      <c r="G141" t="s">
        <v>19</v>
      </c>
      <c r="H141">
        <v>1</v>
      </c>
      <c r="I141">
        <v>1340.12</v>
      </c>
      <c r="J141">
        <v>20</v>
      </c>
      <c r="K141">
        <v>1340.12</v>
      </c>
    </row>
    <row r="142" spans="1:11">
      <c r="A142">
        <v>10324</v>
      </c>
      <c r="B142" s="1">
        <v>45684</v>
      </c>
      <c r="C142" t="s">
        <v>32</v>
      </c>
      <c r="D142" t="s">
        <v>26</v>
      </c>
      <c r="E142" t="s">
        <v>13</v>
      </c>
      <c r="F142" t="s">
        <v>31</v>
      </c>
      <c r="G142" t="s">
        <v>35</v>
      </c>
      <c r="H142">
        <v>1</v>
      </c>
      <c r="I142">
        <v>1347.53</v>
      </c>
      <c r="J142">
        <v>0</v>
      </c>
      <c r="K142">
        <v>1347.53</v>
      </c>
    </row>
    <row r="143" spans="1:11">
      <c r="A143">
        <v>10405</v>
      </c>
      <c r="B143" s="1">
        <v>46010</v>
      </c>
      <c r="C143" t="s">
        <v>32</v>
      </c>
      <c r="D143" t="s">
        <v>26</v>
      </c>
      <c r="E143" t="s">
        <v>18</v>
      </c>
      <c r="F143" t="s">
        <v>22</v>
      </c>
      <c r="G143" t="s">
        <v>19</v>
      </c>
      <c r="H143">
        <v>1</v>
      </c>
      <c r="I143">
        <v>1347.64</v>
      </c>
      <c r="J143">
        <v>0</v>
      </c>
      <c r="K143">
        <v>1347.64</v>
      </c>
    </row>
    <row r="144" spans="1:11">
      <c r="A144">
        <v>10494</v>
      </c>
      <c r="B144" s="1">
        <v>45756</v>
      </c>
      <c r="C144" t="s">
        <v>32</v>
      </c>
      <c r="D144" t="s">
        <v>26</v>
      </c>
      <c r="E144" t="s">
        <v>18</v>
      </c>
      <c r="F144" t="s">
        <v>28</v>
      </c>
      <c r="G144" t="s">
        <v>19</v>
      </c>
      <c r="H144">
        <v>1</v>
      </c>
      <c r="I144">
        <v>1362.43</v>
      </c>
      <c r="J144">
        <v>5</v>
      </c>
      <c r="K144">
        <v>1362.43</v>
      </c>
    </row>
    <row r="145" spans="1:11">
      <c r="A145">
        <v>10216</v>
      </c>
      <c r="B145" s="1">
        <v>45797</v>
      </c>
      <c r="C145" t="s">
        <v>11</v>
      </c>
      <c r="D145" t="s">
        <v>12</v>
      </c>
      <c r="E145" t="s">
        <v>27</v>
      </c>
      <c r="F145" t="s">
        <v>33</v>
      </c>
      <c r="G145" t="s">
        <v>15</v>
      </c>
      <c r="H145">
        <v>5</v>
      </c>
      <c r="I145">
        <v>286.79000000000002</v>
      </c>
      <c r="J145">
        <v>0</v>
      </c>
      <c r="K145">
        <v>1433.95</v>
      </c>
    </row>
    <row r="146" spans="1:11">
      <c r="A146">
        <v>10613</v>
      </c>
      <c r="B146" s="1">
        <v>45660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>
        <v>5</v>
      </c>
      <c r="I146">
        <v>292.32</v>
      </c>
      <c r="J146">
        <v>0</v>
      </c>
      <c r="K146">
        <v>1461.6</v>
      </c>
    </row>
    <row r="147" spans="1:11">
      <c r="A147">
        <v>10080</v>
      </c>
      <c r="B147" s="1">
        <v>45894</v>
      </c>
      <c r="C147" t="s">
        <v>11</v>
      </c>
      <c r="D147" t="s">
        <v>12</v>
      </c>
      <c r="E147" t="s">
        <v>18</v>
      </c>
      <c r="F147" t="s">
        <v>28</v>
      </c>
      <c r="G147" t="s">
        <v>19</v>
      </c>
      <c r="H147">
        <v>5</v>
      </c>
      <c r="I147">
        <v>293.83999999999997</v>
      </c>
      <c r="J147">
        <v>5</v>
      </c>
      <c r="K147">
        <v>1469.2</v>
      </c>
    </row>
    <row r="148" spans="1:11">
      <c r="A148">
        <v>10164</v>
      </c>
      <c r="B148" s="1">
        <v>45793</v>
      </c>
      <c r="C148" t="s">
        <v>11</v>
      </c>
      <c r="D148" t="s">
        <v>12</v>
      </c>
      <c r="E148" t="s">
        <v>24</v>
      </c>
      <c r="F148" t="s">
        <v>14</v>
      </c>
      <c r="G148" t="s">
        <v>35</v>
      </c>
      <c r="H148">
        <v>5</v>
      </c>
      <c r="I148">
        <v>299.77999999999997</v>
      </c>
      <c r="J148">
        <v>15</v>
      </c>
      <c r="K148">
        <v>1498.9</v>
      </c>
    </row>
    <row r="149" spans="1:11">
      <c r="A149">
        <v>10503</v>
      </c>
      <c r="B149" s="1">
        <v>45811</v>
      </c>
      <c r="C149" t="s">
        <v>11</v>
      </c>
      <c r="D149" t="s">
        <v>12</v>
      </c>
      <c r="E149" t="s">
        <v>27</v>
      </c>
      <c r="F149" t="s">
        <v>30</v>
      </c>
      <c r="G149" t="s">
        <v>19</v>
      </c>
      <c r="H149">
        <v>5</v>
      </c>
      <c r="I149">
        <v>302.14</v>
      </c>
      <c r="J149">
        <v>0</v>
      </c>
      <c r="K149">
        <v>1510.7</v>
      </c>
    </row>
    <row r="150" spans="1:11">
      <c r="A150">
        <v>10133</v>
      </c>
      <c r="B150" s="1">
        <v>45696</v>
      </c>
      <c r="C150" t="s">
        <v>11</v>
      </c>
      <c r="D150" t="s">
        <v>12</v>
      </c>
      <c r="E150" t="s">
        <v>27</v>
      </c>
      <c r="F150" t="s">
        <v>30</v>
      </c>
      <c r="G150" t="s">
        <v>19</v>
      </c>
      <c r="H150">
        <v>5</v>
      </c>
      <c r="I150">
        <v>303.48</v>
      </c>
      <c r="J150">
        <v>20</v>
      </c>
      <c r="K150">
        <v>1517.4</v>
      </c>
    </row>
    <row r="151" spans="1:11">
      <c r="A151">
        <v>10160</v>
      </c>
      <c r="B151" s="1">
        <v>45683</v>
      </c>
      <c r="C151" t="s">
        <v>34</v>
      </c>
      <c r="D151" t="s">
        <v>12</v>
      </c>
      <c r="E151" t="s">
        <v>13</v>
      </c>
      <c r="F151" t="s">
        <v>14</v>
      </c>
      <c r="G151" t="s">
        <v>15</v>
      </c>
      <c r="H151">
        <v>2</v>
      </c>
      <c r="I151">
        <v>764.53</v>
      </c>
      <c r="J151">
        <v>20</v>
      </c>
      <c r="K151">
        <v>1529.06</v>
      </c>
    </row>
    <row r="152" spans="1:11">
      <c r="A152">
        <v>10450</v>
      </c>
      <c r="B152" s="1">
        <v>45865</v>
      </c>
      <c r="C152" t="s">
        <v>34</v>
      </c>
      <c r="D152" t="s">
        <v>12</v>
      </c>
      <c r="E152" t="s">
        <v>27</v>
      </c>
      <c r="F152" t="s">
        <v>33</v>
      </c>
      <c r="G152" t="s">
        <v>35</v>
      </c>
      <c r="H152">
        <v>2</v>
      </c>
      <c r="I152">
        <v>766.62</v>
      </c>
      <c r="J152">
        <v>0</v>
      </c>
      <c r="K152">
        <v>1533.24</v>
      </c>
    </row>
    <row r="153" spans="1:11">
      <c r="A153">
        <v>10507</v>
      </c>
      <c r="B153" s="1">
        <v>45891</v>
      </c>
      <c r="C153" t="s">
        <v>34</v>
      </c>
      <c r="D153" t="s">
        <v>12</v>
      </c>
      <c r="E153" t="s">
        <v>24</v>
      </c>
      <c r="F153" t="s">
        <v>30</v>
      </c>
      <c r="G153" t="s">
        <v>35</v>
      </c>
      <c r="H153">
        <v>2</v>
      </c>
      <c r="I153">
        <v>780.94</v>
      </c>
      <c r="J153">
        <v>20</v>
      </c>
      <c r="K153">
        <v>1561.88</v>
      </c>
    </row>
    <row r="154" spans="1:11">
      <c r="A154">
        <v>10186</v>
      </c>
      <c r="B154" s="1">
        <v>45762</v>
      </c>
      <c r="C154" t="s">
        <v>34</v>
      </c>
      <c r="D154" t="s">
        <v>12</v>
      </c>
      <c r="E154" t="s">
        <v>13</v>
      </c>
      <c r="F154" t="s">
        <v>14</v>
      </c>
      <c r="G154" t="s">
        <v>15</v>
      </c>
      <c r="H154">
        <v>2</v>
      </c>
      <c r="I154">
        <v>782.18</v>
      </c>
      <c r="J154">
        <v>0</v>
      </c>
      <c r="K154">
        <v>1564.36</v>
      </c>
    </row>
    <row r="155" spans="1:11">
      <c r="A155">
        <v>10433</v>
      </c>
      <c r="B155" s="1">
        <v>45941</v>
      </c>
      <c r="C155" t="s">
        <v>34</v>
      </c>
      <c r="D155" t="s">
        <v>12</v>
      </c>
      <c r="E155" t="s">
        <v>27</v>
      </c>
      <c r="F155" t="s">
        <v>14</v>
      </c>
      <c r="G155" t="s">
        <v>19</v>
      </c>
      <c r="H155">
        <v>2</v>
      </c>
      <c r="I155">
        <v>792.31</v>
      </c>
      <c r="J155">
        <v>15</v>
      </c>
      <c r="K155">
        <v>1584.62</v>
      </c>
    </row>
    <row r="156" spans="1:11">
      <c r="A156">
        <v>10337</v>
      </c>
      <c r="B156" s="1">
        <v>45930</v>
      </c>
      <c r="C156" t="s">
        <v>34</v>
      </c>
      <c r="D156" t="s">
        <v>12</v>
      </c>
      <c r="E156" t="s">
        <v>27</v>
      </c>
      <c r="F156" t="s">
        <v>28</v>
      </c>
      <c r="G156" t="s">
        <v>15</v>
      </c>
      <c r="H156">
        <v>2</v>
      </c>
      <c r="I156">
        <v>801.86</v>
      </c>
      <c r="J156">
        <v>0</v>
      </c>
      <c r="K156">
        <v>1603.72</v>
      </c>
    </row>
    <row r="157" spans="1:11">
      <c r="A157">
        <v>10017</v>
      </c>
      <c r="B157" s="1">
        <v>46006</v>
      </c>
      <c r="C157" t="s">
        <v>34</v>
      </c>
      <c r="D157" t="s">
        <v>12</v>
      </c>
      <c r="E157" t="s">
        <v>24</v>
      </c>
      <c r="F157" t="s">
        <v>22</v>
      </c>
      <c r="G157" t="s">
        <v>35</v>
      </c>
      <c r="H157">
        <v>2</v>
      </c>
      <c r="I157">
        <v>820.46</v>
      </c>
      <c r="J157">
        <v>0</v>
      </c>
      <c r="K157">
        <v>1640.92</v>
      </c>
    </row>
    <row r="158" spans="1:11">
      <c r="A158">
        <v>10162</v>
      </c>
      <c r="B158" s="1">
        <v>45799</v>
      </c>
      <c r="C158" t="s">
        <v>34</v>
      </c>
      <c r="D158" t="s">
        <v>12</v>
      </c>
      <c r="E158" t="s">
        <v>18</v>
      </c>
      <c r="F158" t="s">
        <v>14</v>
      </c>
      <c r="G158" t="s">
        <v>35</v>
      </c>
      <c r="H158">
        <v>2</v>
      </c>
      <c r="I158">
        <v>822.85</v>
      </c>
      <c r="J158">
        <v>0</v>
      </c>
      <c r="K158">
        <v>1645.7</v>
      </c>
    </row>
    <row r="159" spans="1:11">
      <c r="A159">
        <v>10489</v>
      </c>
      <c r="B159" s="1">
        <v>45792</v>
      </c>
      <c r="C159" t="s">
        <v>34</v>
      </c>
      <c r="D159" t="s">
        <v>12</v>
      </c>
      <c r="E159" t="s">
        <v>27</v>
      </c>
      <c r="F159" t="s">
        <v>31</v>
      </c>
      <c r="G159" t="s">
        <v>19</v>
      </c>
      <c r="H159">
        <v>2</v>
      </c>
      <c r="I159">
        <v>825.93</v>
      </c>
      <c r="J159">
        <v>10</v>
      </c>
      <c r="K159">
        <v>1651.86</v>
      </c>
    </row>
    <row r="160" spans="1:11">
      <c r="A160">
        <v>10561</v>
      </c>
      <c r="B160" s="1">
        <v>45943</v>
      </c>
      <c r="C160" t="s">
        <v>34</v>
      </c>
      <c r="D160" t="s">
        <v>12</v>
      </c>
      <c r="E160" t="s">
        <v>24</v>
      </c>
      <c r="F160" t="s">
        <v>28</v>
      </c>
      <c r="G160" t="s">
        <v>35</v>
      </c>
      <c r="H160">
        <v>2</v>
      </c>
      <c r="I160">
        <v>830.17</v>
      </c>
      <c r="J160">
        <v>10</v>
      </c>
      <c r="K160">
        <v>1660.34</v>
      </c>
    </row>
    <row r="161" spans="1:11">
      <c r="A161">
        <v>10479</v>
      </c>
      <c r="B161" s="1">
        <v>45850</v>
      </c>
      <c r="C161" t="s">
        <v>29</v>
      </c>
      <c r="D161" t="s">
        <v>26</v>
      </c>
      <c r="E161" t="s">
        <v>24</v>
      </c>
      <c r="F161" t="s">
        <v>31</v>
      </c>
      <c r="G161" t="s">
        <v>35</v>
      </c>
      <c r="H161">
        <v>2</v>
      </c>
      <c r="I161">
        <v>868.67</v>
      </c>
      <c r="J161">
        <v>0</v>
      </c>
      <c r="K161">
        <v>1737.34</v>
      </c>
    </row>
    <row r="162" spans="1:11">
      <c r="A162">
        <v>10100</v>
      </c>
      <c r="B162" s="1">
        <v>45963</v>
      </c>
      <c r="C162" t="s">
        <v>29</v>
      </c>
      <c r="D162" t="s">
        <v>26</v>
      </c>
      <c r="E162" t="s">
        <v>13</v>
      </c>
      <c r="F162" t="s">
        <v>28</v>
      </c>
      <c r="G162" t="s">
        <v>15</v>
      </c>
      <c r="H162">
        <v>2</v>
      </c>
      <c r="I162">
        <v>874.5</v>
      </c>
      <c r="J162">
        <v>0</v>
      </c>
      <c r="K162">
        <v>1749</v>
      </c>
    </row>
    <row r="163" spans="1:11">
      <c r="A163">
        <v>10119</v>
      </c>
      <c r="B163" s="1">
        <v>45676</v>
      </c>
      <c r="C163" t="s">
        <v>29</v>
      </c>
      <c r="D163" t="s">
        <v>26</v>
      </c>
      <c r="E163" t="s">
        <v>27</v>
      </c>
      <c r="F163" t="s">
        <v>28</v>
      </c>
      <c r="G163" t="s">
        <v>19</v>
      </c>
      <c r="H163">
        <v>2</v>
      </c>
      <c r="I163">
        <v>883.11</v>
      </c>
      <c r="J163">
        <v>20</v>
      </c>
      <c r="K163">
        <v>1766.22</v>
      </c>
    </row>
    <row r="164" spans="1:11">
      <c r="A164">
        <v>10042</v>
      </c>
      <c r="B164" s="1">
        <v>45793</v>
      </c>
      <c r="C164" t="s">
        <v>29</v>
      </c>
      <c r="D164" t="s">
        <v>26</v>
      </c>
      <c r="E164" t="s">
        <v>18</v>
      </c>
      <c r="F164" t="s">
        <v>30</v>
      </c>
      <c r="G164" t="s">
        <v>15</v>
      </c>
      <c r="H164">
        <v>2</v>
      </c>
      <c r="I164">
        <v>887.27</v>
      </c>
      <c r="J164">
        <v>0</v>
      </c>
      <c r="K164">
        <v>1774.54</v>
      </c>
    </row>
    <row r="165" spans="1:11">
      <c r="A165">
        <v>10169</v>
      </c>
      <c r="B165" s="1">
        <v>46022</v>
      </c>
      <c r="C165" t="s">
        <v>29</v>
      </c>
      <c r="D165" t="s">
        <v>26</v>
      </c>
      <c r="E165" t="s">
        <v>13</v>
      </c>
      <c r="F165" t="s">
        <v>31</v>
      </c>
      <c r="G165" t="s">
        <v>35</v>
      </c>
      <c r="H165">
        <v>2</v>
      </c>
      <c r="I165">
        <v>894.84</v>
      </c>
      <c r="J165">
        <v>10</v>
      </c>
      <c r="K165">
        <v>1789.68</v>
      </c>
    </row>
    <row r="166" spans="1:11">
      <c r="A166">
        <v>10545</v>
      </c>
      <c r="B166" s="1">
        <v>45696</v>
      </c>
      <c r="C166" t="s">
        <v>29</v>
      </c>
      <c r="D166" t="s">
        <v>26</v>
      </c>
      <c r="E166" t="s">
        <v>24</v>
      </c>
      <c r="F166" t="s">
        <v>30</v>
      </c>
      <c r="G166" t="s">
        <v>35</v>
      </c>
      <c r="H166">
        <v>2</v>
      </c>
      <c r="I166">
        <v>895.11</v>
      </c>
      <c r="J166">
        <v>0</v>
      </c>
      <c r="K166">
        <v>1790.22</v>
      </c>
    </row>
    <row r="167" spans="1:11">
      <c r="A167">
        <v>10272</v>
      </c>
      <c r="B167" s="1">
        <v>45930</v>
      </c>
      <c r="C167" t="s">
        <v>29</v>
      </c>
      <c r="D167" t="s">
        <v>26</v>
      </c>
      <c r="E167" t="s">
        <v>27</v>
      </c>
      <c r="F167" t="s">
        <v>22</v>
      </c>
      <c r="G167" t="s">
        <v>35</v>
      </c>
      <c r="H167">
        <v>2</v>
      </c>
      <c r="I167">
        <v>896.74</v>
      </c>
      <c r="J167">
        <v>0</v>
      </c>
      <c r="K167">
        <v>1793.48</v>
      </c>
    </row>
    <row r="168" spans="1:11">
      <c r="A168">
        <v>10151</v>
      </c>
      <c r="B168" s="1">
        <v>45845</v>
      </c>
      <c r="C168" t="s">
        <v>29</v>
      </c>
      <c r="D168" t="s">
        <v>26</v>
      </c>
      <c r="E168" t="s">
        <v>24</v>
      </c>
      <c r="F168" t="s">
        <v>31</v>
      </c>
      <c r="G168" t="s">
        <v>15</v>
      </c>
      <c r="H168">
        <v>2</v>
      </c>
      <c r="I168">
        <v>902.29</v>
      </c>
      <c r="J168">
        <v>5</v>
      </c>
      <c r="K168">
        <v>1804.58</v>
      </c>
    </row>
    <row r="169" spans="1:11">
      <c r="A169">
        <v>10002</v>
      </c>
      <c r="B169" s="1">
        <v>46004</v>
      </c>
      <c r="C169" t="s">
        <v>36</v>
      </c>
      <c r="D169" t="s">
        <v>12</v>
      </c>
      <c r="E169" t="s">
        <v>24</v>
      </c>
      <c r="F169" t="s">
        <v>33</v>
      </c>
      <c r="G169" t="s">
        <v>19</v>
      </c>
      <c r="H169">
        <v>1</v>
      </c>
      <c r="I169">
        <v>1809.71</v>
      </c>
      <c r="J169">
        <v>0</v>
      </c>
      <c r="K169">
        <v>1809.71</v>
      </c>
    </row>
    <row r="170" spans="1:11">
      <c r="A170">
        <v>10129</v>
      </c>
      <c r="B170" s="1">
        <v>45851</v>
      </c>
      <c r="C170" t="s">
        <v>29</v>
      </c>
      <c r="D170" t="s">
        <v>26</v>
      </c>
      <c r="E170" t="s">
        <v>27</v>
      </c>
      <c r="F170" t="s">
        <v>30</v>
      </c>
      <c r="G170" t="s">
        <v>15</v>
      </c>
      <c r="H170">
        <v>2</v>
      </c>
      <c r="I170">
        <v>905.45</v>
      </c>
      <c r="J170">
        <v>0</v>
      </c>
      <c r="K170">
        <v>1810.9</v>
      </c>
    </row>
    <row r="171" spans="1:11">
      <c r="A171">
        <v>10141</v>
      </c>
      <c r="B171" s="1">
        <v>45738</v>
      </c>
      <c r="C171" t="s">
        <v>29</v>
      </c>
      <c r="D171" t="s">
        <v>26</v>
      </c>
      <c r="E171" t="s">
        <v>24</v>
      </c>
      <c r="F171" t="s">
        <v>31</v>
      </c>
      <c r="G171" t="s">
        <v>19</v>
      </c>
      <c r="H171">
        <v>2</v>
      </c>
      <c r="I171">
        <v>911.49</v>
      </c>
      <c r="J171">
        <v>5</v>
      </c>
      <c r="K171">
        <v>1822.98</v>
      </c>
    </row>
    <row r="172" spans="1:11">
      <c r="A172">
        <v>10022</v>
      </c>
      <c r="B172" s="1">
        <v>45701</v>
      </c>
      <c r="C172" t="s">
        <v>36</v>
      </c>
      <c r="D172" t="s">
        <v>12</v>
      </c>
      <c r="E172" t="s">
        <v>27</v>
      </c>
      <c r="F172" t="s">
        <v>28</v>
      </c>
      <c r="G172" t="s">
        <v>35</v>
      </c>
      <c r="H172">
        <v>1</v>
      </c>
      <c r="I172">
        <v>1828.43</v>
      </c>
      <c r="J172">
        <v>5</v>
      </c>
      <c r="K172">
        <v>1828.43</v>
      </c>
    </row>
    <row r="173" spans="1:11">
      <c r="A173">
        <v>10184</v>
      </c>
      <c r="B173" s="1">
        <v>45716</v>
      </c>
      <c r="C173" t="s">
        <v>29</v>
      </c>
      <c r="D173" t="s">
        <v>26</v>
      </c>
      <c r="E173" t="s">
        <v>13</v>
      </c>
      <c r="F173" t="s">
        <v>31</v>
      </c>
      <c r="G173" t="s">
        <v>15</v>
      </c>
      <c r="H173">
        <v>2</v>
      </c>
      <c r="I173">
        <v>915.02</v>
      </c>
      <c r="J173">
        <v>10</v>
      </c>
      <c r="K173">
        <v>1830.04</v>
      </c>
    </row>
    <row r="174" spans="1:11">
      <c r="A174">
        <v>10629</v>
      </c>
      <c r="B174" s="1">
        <v>45921</v>
      </c>
      <c r="C174" t="s">
        <v>36</v>
      </c>
      <c r="D174" t="s">
        <v>12</v>
      </c>
      <c r="E174" t="s">
        <v>13</v>
      </c>
      <c r="F174" t="s">
        <v>14</v>
      </c>
      <c r="G174" t="s">
        <v>15</v>
      </c>
      <c r="H174">
        <v>1</v>
      </c>
      <c r="I174">
        <v>1833.93</v>
      </c>
      <c r="J174">
        <v>10</v>
      </c>
      <c r="K174">
        <v>1833.93</v>
      </c>
    </row>
    <row r="175" spans="1:11">
      <c r="A175">
        <v>10045</v>
      </c>
      <c r="B175" s="1">
        <v>45737</v>
      </c>
      <c r="C175" t="s">
        <v>29</v>
      </c>
      <c r="D175" t="s">
        <v>26</v>
      </c>
      <c r="E175" t="s">
        <v>13</v>
      </c>
      <c r="F175" t="s">
        <v>30</v>
      </c>
      <c r="G175" t="s">
        <v>35</v>
      </c>
      <c r="H175">
        <v>2</v>
      </c>
      <c r="I175">
        <v>918.56</v>
      </c>
      <c r="J175">
        <v>0</v>
      </c>
      <c r="K175">
        <v>1837.12</v>
      </c>
    </row>
    <row r="176" spans="1:11">
      <c r="A176">
        <v>10506</v>
      </c>
      <c r="B176" s="1">
        <v>45949</v>
      </c>
      <c r="C176" t="s">
        <v>29</v>
      </c>
      <c r="D176" t="s">
        <v>26</v>
      </c>
      <c r="E176" t="s">
        <v>24</v>
      </c>
      <c r="F176" t="s">
        <v>14</v>
      </c>
      <c r="G176" t="s">
        <v>15</v>
      </c>
      <c r="H176">
        <v>2</v>
      </c>
      <c r="I176">
        <v>929.29</v>
      </c>
      <c r="J176">
        <v>0</v>
      </c>
      <c r="K176">
        <v>1858.58</v>
      </c>
    </row>
    <row r="177" spans="1:11">
      <c r="A177">
        <v>10584</v>
      </c>
      <c r="B177" s="1">
        <v>45753</v>
      </c>
      <c r="C177" t="s">
        <v>36</v>
      </c>
      <c r="D177" t="s">
        <v>12</v>
      </c>
      <c r="E177" t="s">
        <v>18</v>
      </c>
      <c r="F177" t="s">
        <v>22</v>
      </c>
      <c r="G177" t="s">
        <v>35</v>
      </c>
      <c r="H177">
        <v>1</v>
      </c>
      <c r="I177">
        <v>1875.68</v>
      </c>
      <c r="J177">
        <v>5</v>
      </c>
      <c r="K177">
        <v>1875.68</v>
      </c>
    </row>
    <row r="178" spans="1:11">
      <c r="A178">
        <v>10411</v>
      </c>
      <c r="B178" s="1">
        <v>45710</v>
      </c>
      <c r="C178" t="s">
        <v>36</v>
      </c>
      <c r="D178" t="s">
        <v>12</v>
      </c>
      <c r="E178" t="s">
        <v>13</v>
      </c>
      <c r="F178" t="s">
        <v>30</v>
      </c>
      <c r="G178" t="s">
        <v>19</v>
      </c>
      <c r="H178">
        <v>1</v>
      </c>
      <c r="I178">
        <v>1876.73</v>
      </c>
      <c r="J178">
        <v>20</v>
      </c>
      <c r="K178">
        <v>1876.73</v>
      </c>
    </row>
    <row r="179" spans="1:11">
      <c r="A179">
        <v>10191</v>
      </c>
      <c r="B179" s="1">
        <v>45782</v>
      </c>
      <c r="C179" t="s">
        <v>36</v>
      </c>
      <c r="D179" t="s">
        <v>12</v>
      </c>
      <c r="E179" t="s">
        <v>27</v>
      </c>
      <c r="F179" t="s">
        <v>33</v>
      </c>
      <c r="G179" t="s">
        <v>19</v>
      </c>
      <c r="H179">
        <v>1</v>
      </c>
      <c r="I179">
        <v>1879.21</v>
      </c>
      <c r="J179">
        <v>0</v>
      </c>
      <c r="K179">
        <v>1879.21</v>
      </c>
    </row>
    <row r="180" spans="1:11">
      <c r="A180">
        <v>10540</v>
      </c>
      <c r="B180" s="1">
        <v>45997</v>
      </c>
      <c r="C180" t="s">
        <v>36</v>
      </c>
      <c r="D180" t="s">
        <v>12</v>
      </c>
      <c r="E180" t="s">
        <v>13</v>
      </c>
      <c r="F180" t="s">
        <v>33</v>
      </c>
      <c r="G180" t="s">
        <v>35</v>
      </c>
      <c r="H180">
        <v>1</v>
      </c>
      <c r="I180">
        <v>1883.59</v>
      </c>
      <c r="J180">
        <v>0</v>
      </c>
      <c r="K180">
        <v>1883.59</v>
      </c>
    </row>
    <row r="181" spans="1:11">
      <c r="A181">
        <v>10136</v>
      </c>
      <c r="B181" s="1">
        <v>45880</v>
      </c>
      <c r="C181" t="s">
        <v>36</v>
      </c>
      <c r="D181" t="s">
        <v>12</v>
      </c>
      <c r="E181" t="s">
        <v>24</v>
      </c>
      <c r="F181" t="s">
        <v>22</v>
      </c>
      <c r="G181" t="s">
        <v>35</v>
      </c>
      <c r="H181">
        <v>1</v>
      </c>
      <c r="I181">
        <v>1888.3</v>
      </c>
      <c r="J181">
        <v>15</v>
      </c>
      <c r="K181">
        <v>1888.3</v>
      </c>
    </row>
    <row r="182" spans="1:11">
      <c r="A182">
        <v>10165</v>
      </c>
      <c r="B182" s="1">
        <v>45901</v>
      </c>
      <c r="C182" t="s">
        <v>36</v>
      </c>
      <c r="D182" t="s">
        <v>12</v>
      </c>
      <c r="E182" t="s">
        <v>27</v>
      </c>
      <c r="F182" t="s">
        <v>30</v>
      </c>
      <c r="G182" t="s">
        <v>35</v>
      </c>
      <c r="H182">
        <v>1</v>
      </c>
      <c r="I182">
        <v>1889.89</v>
      </c>
      <c r="J182">
        <v>0</v>
      </c>
      <c r="K182">
        <v>1889.89</v>
      </c>
    </row>
    <row r="183" spans="1:11">
      <c r="A183">
        <v>10076</v>
      </c>
      <c r="B183" s="1">
        <v>45857</v>
      </c>
      <c r="C183" t="s">
        <v>16</v>
      </c>
      <c r="D183" t="s">
        <v>17</v>
      </c>
      <c r="E183" t="s">
        <v>24</v>
      </c>
      <c r="F183" t="s">
        <v>33</v>
      </c>
      <c r="G183" t="s">
        <v>19</v>
      </c>
      <c r="H183">
        <v>10</v>
      </c>
      <c r="I183">
        <v>189.17</v>
      </c>
      <c r="J183">
        <v>0</v>
      </c>
      <c r="K183">
        <v>1891.7</v>
      </c>
    </row>
    <row r="184" spans="1:11">
      <c r="A184">
        <v>10499</v>
      </c>
      <c r="B184" s="1">
        <v>45793</v>
      </c>
      <c r="C184" t="s">
        <v>16</v>
      </c>
      <c r="D184" t="s">
        <v>17</v>
      </c>
      <c r="E184" t="s">
        <v>27</v>
      </c>
      <c r="F184" t="s">
        <v>22</v>
      </c>
      <c r="G184" t="s">
        <v>19</v>
      </c>
      <c r="H184">
        <v>10</v>
      </c>
      <c r="I184">
        <v>189.8</v>
      </c>
      <c r="J184">
        <v>0</v>
      </c>
      <c r="K184">
        <v>1898</v>
      </c>
    </row>
    <row r="185" spans="1:11">
      <c r="A185">
        <v>10167</v>
      </c>
      <c r="B185" s="1">
        <v>45876</v>
      </c>
      <c r="C185" t="s">
        <v>16</v>
      </c>
      <c r="D185" t="s">
        <v>17</v>
      </c>
      <c r="E185" t="s">
        <v>24</v>
      </c>
      <c r="F185" t="s">
        <v>31</v>
      </c>
      <c r="G185" t="s">
        <v>35</v>
      </c>
      <c r="H185">
        <v>10</v>
      </c>
      <c r="I185">
        <v>190.51</v>
      </c>
      <c r="J185">
        <v>0</v>
      </c>
      <c r="K185">
        <v>1905.1</v>
      </c>
    </row>
    <row r="186" spans="1:11">
      <c r="A186">
        <v>10177</v>
      </c>
      <c r="B186" s="1">
        <v>45800</v>
      </c>
      <c r="C186" t="s">
        <v>36</v>
      </c>
      <c r="D186" t="s">
        <v>12</v>
      </c>
      <c r="E186" t="s">
        <v>18</v>
      </c>
      <c r="F186" t="s">
        <v>31</v>
      </c>
      <c r="G186" t="s">
        <v>35</v>
      </c>
      <c r="H186">
        <v>1</v>
      </c>
      <c r="I186">
        <v>1919.7</v>
      </c>
      <c r="J186">
        <v>15</v>
      </c>
      <c r="K186">
        <v>1919.7</v>
      </c>
    </row>
    <row r="187" spans="1:11">
      <c r="A187">
        <v>10206</v>
      </c>
      <c r="B187" s="1">
        <v>45816</v>
      </c>
      <c r="C187" t="s">
        <v>36</v>
      </c>
      <c r="D187" t="s">
        <v>12</v>
      </c>
      <c r="E187" t="s">
        <v>27</v>
      </c>
      <c r="F187" t="s">
        <v>22</v>
      </c>
      <c r="G187" t="s">
        <v>19</v>
      </c>
      <c r="H187">
        <v>1</v>
      </c>
      <c r="I187">
        <v>1931.31</v>
      </c>
      <c r="J187">
        <v>20</v>
      </c>
      <c r="K187">
        <v>1931.31</v>
      </c>
    </row>
    <row r="188" spans="1:11">
      <c r="A188">
        <v>10287</v>
      </c>
      <c r="B188" s="1">
        <v>45869</v>
      </c>
      <c r="C188" t="s">
        <v>36</v>
      </c>
      <c r="D188" t="s">
        <v>12</v>
      </c>
      <c r="E188" t="s">
        <v>13</v>
      </c>
      <c r="F188" t="s">
        <v>22</v>
      </c>
      <c r="G188" t="s">
        <v>19</v>
      </c>
      <c r="H188">
        <v>1</v>
      </c>
      <c r="I188">
        <v>1933.41</v>
      </c>
      <c r="J188">
        <v>0</v>
      </c>
      <c r="K188">
        <v>1933.41</v>
      </c>
    </row>
    <row r="189" spans="1:11">
      <c r="A189">
        <v>10074</v>
      </c>
      <c r="B189" s="1">
        <v>45728</v>
      </c>
      <c r="C189" t="s">
        <v>36</v>
      </c>
      <c r="D189" t="s">
        <v>12</v>
      </c>
      <c r="E189" t="s">
        <v>18</v>
      </c>
      <c r="F189" t="s">
        <v>14</v>
      </c>
      <c r="G189" t="s">
        <v>19</v>
      </c>
      <c r="H189">
        <v>1</v>
      </c>
      <c r="I189">
        <v>1938.2</v>
      </c>
      <c r="J189">
        <v>0</v>
      </c>
      <c r="K189">
        <v>1938.2</v>
      </c>
    </row>
    <row r="190" spans="1:11">
      <c r="A190">
        <v>10643</v>
      </c>
      <c r="B190" s="1">
        <v>45803</v>
      </c>
      <c r="C190" t="s">
        <v>36</v>
      </c>
      <c r="D190" t="s">
        <v>12</v>
      </c>
      <c r="E190" t="s">
        <v>27</v>
      </c>
      <c r="F190" t="s">
        <v>30</v>
      </c>
      <c r="G190" t="s">
        <v>15</v>
      </c>
      <c r="H190">
        <v>1</v>
      </c>
      <c r="I190">
        <v>1938.72</v>
      </c>
      <c r="J190">
        <v>20</v>
      </c>
      <c r="K190">
        <v>1938.72</v>
      </c>
    </row>
    <row r="191" spans="1:11">
      <c r="A191">
        <v>10559</v>
      </c>
      <c r="B191" s="1">
        <v>45893</v>
      </c>
      <c r="C191" t="s">
        <v>36</v>
      </c>
      <c r="D191" t="s">
        <v>12</v>
      </c>
      <c r="E191" t="s">
        <v>27</v>
      </c>
      <c r="F191" t="s">
        <v>33</v>
      </c>
      <c r="G191" t="s">
        <v>19</v>
      </c>
      <c r="H191">
        <v>1</v>
      </c>
      <c r="I191">
        <v>1966.72</v>
      </c>
      <c r="J191">
        <v>5</v>
      </c>
      <c r="K191">
        <v>1966.72</v>
      </c>
    </row>
    <row r="192" spans="1:11">
      <c r="A192">
        <v>10120</v>
      </c>
      <c r="B192" s="1">
        <v>45921</v>
      </c>
      <c r="C192" t="s">
        <v>16</v>
      </c>
      <c r="D192" t="s">
        <v>17</v>
      </c>
      <c r="E192" t="s">
        <v>24</v>
      </c>
      <c r="F192" t="s">
        <v>22</v>
      </c>
      <c r="G192" t="s">
        <v>35</v>
      </c>
      <c r="H192">
        <v>10</v>
      </c>
      <c r="I192">
        <v>197.27</v>
      </c>
      <c r="J192">
        <v>0</v>
      </c>
      <c r="K192">
        <v>1972.7</v>
      </c>
    </row>
    <row r="193" spans="1:11">
      <c r="A193">
        <v>10018</v>
      </c>
      <c r="B193" s="1">
        <v>45808</v>
      </c>
      <c r="C193" t="s">
        <v>36</v>
      </c>
      <c r="D193" t="s">
        <v>12</v>
      </c>
      <c r="E193" t="s">
        <v>27</v>
      </c>
      <c r="F193" t="s">
        <v>14</v>
      </c>
      <c r="G193" t="s">
        <v>19</v>
      </c>
      <c r="H193">
        <v>1</v>
      </c>
      <c r="I193">
        <v>1985.18</v>
      </c>
      <c r="J193">
        <v>15</v>
      </c>
      <c r="K193">
        <v>1985.18</v>
      </c>
    </row>
    <row r="194" spans="1:11">
      <c r="A194">
        <v>10064</v>
      </c>
      <c r="B194" s="1">
        <v>45954</v>
      </c>
      <c r="C194" t="s">
        <v>16</v>
      </c>
      <c r="D194" t="s">
        <v>17</v>
      </c>
      <c r="E194" t="s">
        <v>13</v>
      </c>
      <c r="F194" t="s">
        <v>31</v>
      </c>
      <c r="G194" t="s">
        <v>19</v>
      </c>
      <c r="H194">
        <v>10</v>
      </c>
      <c r="I194">
        <v>202.49</v>
      </c>
      <c r="J194">
        <v>10</v>
      </c>
      <c r="K194">
        <v>2024.9</v>
      </c>
    </row>
    <row r="195" spans="1:11">
      <c r="A195">
        <v>10478</v>
      </c>
      <c r="B195" s="1">
        <v>45882</v>
      </c>
      <c r="C195" t="s">
        <v>16</v>
      </c>
      <c r="D195" t="s">
        <v>17</v>
      </c>
      <c r="E195" t="s">
        <v>27</v>
      </c>
      <c r="F195" t="s">
        <v>14</v>
      </c>
      <c r="G195" t="s">
        <v>19</v>
      </c>
      <c r="H195">
        <v>10</v>
      </c>
      <c r="I195">
        <v>206.6</v>
      </c>
      <c r="J195">
        <v>0</v>
      </c>
      <c r="K195">
        <v>2066</v>
      </c>
    </row>
    <row r="196" spans="1:11">
      <c r="A196">
        <v>10166</v>
      </c>
      <c r="B196" s="1">
        <v>45680</v>
      </c>
      <c r="C196" t="s">
        <v>38</v>
      </c>
      <c r="D196" t="s">
        <v>12</v>
      </c>
      <c r="E196" t="s">
        <v>13</v>
      </c>
      <c r="F196" t="s">
        <v>31</v>
      </c>
      <c r="G196" t="s">
        <v>35</v>
      </c>
      <c r="H196">
        <v>1</v>
      </c>
      <c r="I196">
        <v>2198.0300000000002</v>
      </c>
      <c r="J196">
        <v>5</v>
      </c>
      <c r="K196">
        <v>2198.0300000000002</v>
      </c>
    </row>
    <row r="197" spans="1:11">
      <c r="A197">
        <v>10248</v>
      </c>
      <c r="B197" s="1">
        <v>45846</v>
      </c>
      <c r="C197" t="s">
        <v>38</v>
      </c>
      <c r="D197" t="s">
        <v>12</v>
      </c>
      <c r="E197" t="s">
        <v>27</v>
      </c>
      <c r="F197" t="s">
        <v>33</v>
      </c>
      <c r="G197" t="s">
        <v>15</v>
      </c>
      <c r="H197">
        <v>1</v>
      </c>
      <c r="I197">
        <v>2199.17</v>
      </c>
      <c r="J197">
        <v>5</v>
      </c>
      <c r="K197">
        <v>2199.17</v>
      </c>
    </row>
    <row r="198" spans="1:11">
      <c r="A198">
        <v>10026</v>
      </c>
      <c r="B198" s="1">
        <v>45941</v>
      </c>
      <c r="C198" t="s">
        <v>38</v>
      </c>
      <c r="D198" t="s">
        <v>12</v>
      </c>
      <c r="E198" t="s">
        <v>18</v>
      </c>
      <c r="F198" t="s">
        <v>33</v>
      </c>
      <c r="G198" t="s">
        <v>15</v>
      </c>
      <c r="H198">
        <v>1</v>
      </c>
      <c r="I198">
        <v>2200.37</v>
      </c>
      <c r="J198">
        <v>15</v>
      </c>
      <c r="K198">
        <v>2200.37</v>
      </c>
    </row>
    <row r="199" spans="1:11">
      <c r="A199">
        <v>10403</v>
      </c>
      <c r="B199" s="1">
        <v>45906</v>
      </c>
      <c r="C199" t="s">
        <v>38</v>
      </c>
      <c r="D199" t="s">
        <v>12</v>
      </c>
      <c r="E199" t="s">
        <v>13</v>
      </c>
      <c r="F199" t="s">
        <v>22</v>
      </c>
      <c r="G199" t="s">
        <v>15</v>
      </c>
      <c r="H199">
        <v>1</v>
      </c>
      <c r="I199">
        <v>2206.94</v>
      </c>
      <c r="J199">
        <v>20</v>
      </c>
      <c r="K199">
        <v>2206.94</v>
      </c>
    </row>
    <row r="200" spans="1:11">
      <c r="A200">
        <v>10637</v>
      </c>
      <c r="B200" s="1">
        <v>45693</v>
      </c>
      <c r="C200" t="s">
        <v>38</v>
      </c>
      <c r="D200" t="s">
        <v>12</v>
      </c>
      <c r="E200" t="s">
        <v>18</v>
      </c>
      <c r="F200" t="s">
        <v>31</v>
      </c>
      <c r="G200" t="s">
        <v>19</v>
      </c>
      <c r="H200">
        <v>1</v>
      </c>
      <c r="I200">
        <v>2209.0100000000002</v>
      </c>
      <c r="J200">
        <v>0</v>
      </c>
      <c r="K200">
        <v>2209.0100000000002</v>
      </c>
    </row>
    <row r="201" spans="1:11">
      <c r="A201">
        <v>10139</v>
      </c>
      <c r="B201" s="1">
        <v>45853</v>
      </c>
      <c r="C201" t="s">
        <v>38</v>
      </c>
      <c r="D201" t="s">
        <v>12</v>
      </c>
      <c r="E201" t="s">
        <v>18</v>
      </c>
      <c r="F201" t="s">
        <v>31</v>
      </c>
      <c r="G201" t="s">
        <v>35</v>
      </c>
      <c r="H201">
        <v>1</v>
      </c>
      <c r="I201">
        <v>2237.4299999999998</v>
      </c>
      <c r="J201">
        <v>15</v>
      </c>
      <c r="K201">
        <v>2237.4299999999998</v>
      </c>
    </row>
    <row r="202" spans="1:11">
      <c r="A202">
        <v>10239</v>
      </c>
      <c r="B202" s="1">
        <v>46005</v>
      </c>
      <c r="C202" t="s">
        <v>38</v>
      </c>
      <c r="D202" t="s">
        <v>12</v>
      </c>
      <c r="E202" t="s">
        <v>27</v>
      </c>
      <c r="F202" t="s">
        <v>28</v>
      </c>
      <c r="G202" t="s">
        <v>15</v>
      </c>
      <c r="H202">
        <v>1</v>
      </c>
      <c r="I202">
        <v>2238.31</v>
      </c>
      <c r="J202">
        <v>15</v>
      </c>
      <c r="K202">
        <v>2238.31</v>
      </c>
    </row>
    <row r="203" spans="1:11">
      <c r="A203">
        <v>10315</v>
      </c>
      <c r="B203" s="1">
        <v>45675</v>
      </c>
      <c r="C203" t="s">
        <v>38</v>
      </c>
      <c r="D203" t="s">
        <v>12</v>
      </c>
      <c r="E203" t="s">
        <v>27</v>
      </c>
      <c r="F203" t="s">
        <v>33</v>
      </c>
      <c r="G203" t="s">
        <v>35</v>
      </c>
      <c r="H203">
        <v>1</v>
      </c>
      <c r="I203">
        <v>2240.31</v>
      </c>
      <c r="J203">
        <v>0</v>
      </c>
      <c r="K203">
        <v>2240.31</v>
      </c>
    </row>
    <row r="204" spans="1:11">
      <c r="A204">
        <v>10606</v>
      </c>
      <c r="B204" s="1">
        <v>45963</v>
      </c>
      <c r="C204" t="s">
        <v>38</v>
      </c>
      <c r="D204" t="s">
        <v>12</v>
      </c>
      <c r="E204" t="s">
        <v>27</v>
      </c>
      <c r="F204" t="s">
        <v>33</v>
      </c>
      <c r="G204" t="s">
        <v>35</v>
      </c>
      <c r="H204">
        <v>1</v>
      </c>
      <c r="I204">
        <v>2254.1</v>
      </c>
      <c r="J204">
        <v>15</v>
      </c>
      <c r="K204">
        <v>2254.1</v>
      </c>
    </row>
    <row r="205" spans="1:11">
      <c r="A205">
        <v>10467</v>
      </c>
      <c r="B205" s="1">
        <v>45770</v>
      </c>
      <c r="C205" t="s">
        <v>38</v>
      </c>
      <c r="D205" t="s">
        <v>12</v>
      </c>
      <c r="E205" t="s">
        <v>24</v>
      </c>
      <c r="F205" t="s">
        <v>33</v>
      </c>
      <c r="G205" t="s">
        <v>19</v>
      </c>
      <c r="H205">
        <v>1</v>
      </c>
      <c r="I205">
        <v>2260.3200000000002</v>
      </c>
      <c r="J205">
        <v>10</v>
      </c>
      <c r="K205">
        <v>2260.3200000000002</v>
      </c>
    </row>
    <row r="206" spans="1:11">
      <c r="A206">
        <v>10190</v>
      </c>
      <c r="B206" s="1">
        <v>45824</v>
      </c>
      <c r="C206" t="s">
        <v>34</v>
      </c>
      <c r="D206" t="s">
        <v>12</v>
      </c>
      <c r="E206" t="s">
        <v>18</v>
      </c>
      <c r="F206" t="s">
        <v>33</v>
      </c>
      <c r="G206" t="s">
        <v>19</v>
      </c>
      <c r="H206">
        <v>3</v>
      </c>
      <c r="I206">
        <v>766.09</v>
      </c>
      <c r="J206">
        <v>20</v>
      </c>
      <c r="K206">
        <v>2298.27</v>
      </c>
    </row>
    <row r="207" spans="1:11">
      <c r="A207">
        <v>10256</v>
      </c>
      <c r="B207" s="1">
        <v>45793</v>
      </c>
      <c r="C207" t="s">
        <v>38</v>
      </c>
      <c r="D207" t="s">
        <v>12</v>
      </c>
      <c r="E207" t="s">
        <v>18</v>
      </c>
      <c r="F207" t="s">
        <v>33</v>
      </c>
      <c r="G207" t="s">
        <v>19</v>
      </c>
      <c r="H207">
        <v>1</v>
      </c>
      <c r="I207">
        <v>2298.5500000000002</v>
      </c>
      <c r="J207">
        <v>15</v>
      </c>
      <c r="K207">
        <v>2298.5500000000002</v>
      </c>
    </row>
    <row r="208" spans="1:11">
      <c r="A208">
        <v>10123</v>
      </c>
      <c r="B208" s="1">
        <v>45780</v>
      </c>
      <c r="C208" t="s">
        <v>38</v>
      </c>
      <c r="D208" t="s">
        <v>12</v>
      </c>
      <c r="E208" t="s">
        <v>18</v>
      </c>
      <c r="F208" t="s">
        <v>30</v>
      </c>
      <c r="G208" t="s">
        <v>35</v>
      </c>
      <c r="H208">
        <v>1</v>
      </c>
      <c r="I208">
        <v>2311.0100000000002</v>
      </c>
      <c r="J208">
        <v>0</v>
      </c>
      <c r="K208">
        <v>2311.0100000000002</v>
      </c>
    </row>
    <row r="209" spans="1:11">
      <c r="A209">
        <v>10085</v>
      </c>
      <c r="B209" s="1">
        <v>45968</v>
      </c>
      <c r="C209" t="s">
        <v>38</v>
      </c>
      <c r="D209" t="s">
        <v>12</v>
      </c>
      <c r="E209" t="s">
        <v>24</v>
      </c>
      <c r="F209" t="s">
        <v>14</v>
      </c>
      <c r="G209" t="s">
        <v>19</v>
      </c>
      <c r="H209">
        <v>1</v>
      </c>
      <c r="I209">
        <v>2317.09</v>
      </c>
      <c r="J209">
        <v>0</v>
      </c>
      <c r="K209">
        <v>2317.09</v>
      </c>
    </row>
    <row r="210" spans="1:11">
      <c r="A210">
        <v>10254</v>
      </c>
      <c r="B210" s="1">
        <v>45931</v>
      </c>
      <c r="C210" t="s">
        <v>38</v>
      </c>
      <c r="D210" t="s">
        <v>12</v>
      </c>
      <c r="E210" t="s">
        <v>24</v>
      </c>
      <c r="F210" t="s">
        <v>33</v>
      </c>
      <c r="G210" t="s">
        <v>35</v>
      </c>
      <c r="H210">
        <v>1</v>
      </c>
      <c r="I210">
        <v>2320.11</v>
      </c>
      <c r="J210">
        <v>10</v>
      </c>
      <c r="K210">
        <v>2320.11</v>
      </c>
    </row>
    <row r="211" spans="1:11">
      <c r="A211">
        <v>10020</v>
      </c>
      <c r="B211" s="1">
        <v>45759</v>
      </c>
      <c r="C211" t="s">
        <v>38</v>
      </c>
      <c r="D211" t="s">
        <v>12</v>
      </c>
      <c r="E211" t="s">
        <v>18</v>
      </c>
      <c r="F211" t="s">
        <v>30</v>
      </c>
      <c r="G211" t="s">
        <v>15</v>
      </c>
      <c r="H211">
        <v>1</v>
      </c>
      <c r="I211">
        <v>2321.75</v>
      </c>
      <c r="J211">
        <v>5</v>
      </c>
      <c r="K211">
        <v>2321.75</v>
      </c>
    </row>
    <row r="212" spans="1:11">
      <c r="A212">
        <v>10182</v>
      </c>
      <c r="B212" s="1">
        <v>45701</v>
      </c>
      <c r="C212" t="s">
        <v>38</v>
      </c>
      <c r="D212" t="s">
        <v>12</v>
      </c>
      <c r="E212" t="s">
        <v>24</v>
      </c>
      <c r="F212" t="s">
        <v>14</v>
      </c>
      <c r="G212" t="s">
        <v>15</v>
      </c>
      <c r="H212">
        <v>1</v>
      </c>
      <c r="I212">
        <v>2339</v>
      </c>
      <c r="J212">
        <v>0</v>
      </c>
      <c r="K212">
        <v>2339</v>
      </c>
    </row>
    <row r="213" spans="1:11">
      <c r="A213">
        <v>10071</v>
      </c>
      <c r="B213" s="1">
        <v>45916</v>
      </c>
      <c r="C213" t="s">
        <v>38</v>
      </c>
      <c r="D213" t="s">
        <v>12</v>
      </c>
      <c r="E213" t="s">
        <v>27</v>
      </c>
      <c r="F213" t="s">
        <v>33</v>
      </c>
      <c r="G213" t="s">
        <v>19</v>
      </c>
      <c r="H213">
        <v>1</v>
      </c>
      <c r="I213">
        <v>2355.02</v>
      </c>
      <c r="J213">
        <v>5</v>
      </c>
      <c r="K213">
        <v>2355.02</v>
      </c>
    </row>
    <row r="214" spans="1:11">
      <c r="A214">
        <v>10648</v>
      </c>
      <c r="B214" s="1">
        <v>45834</v>
      </c>
      <c r="C214" t="s">
        <v>38</v>
      </c>
      <c r="D214" t="s">
        <v>12</v>
      </c>
      <c r="E214" t="s">
        <v>27</v>
      </c>
      <c r="F214" t="s">
        <v>22</v>
      </c>
      <c r="G214" t="s">
        <v>15</v>
      </c>
      <c r="H214">
        <v>1</v>
      </c>
      <c r="I214">
        <v>2355.9699999999998</v>
      </c>
      <c r="J214">
        <v>5</v>
      </c>
      <c r="K214">
        <v>2355.9699999999998</v>
      </c>
    </row>
    <row r="215" spans="1:11">
      <c r="A215">
        <v>10115</v>
      </c>
      <c r="B215" s="1">
        <v>45958</v>
      </c>
      <c r="C215" t="s">
        <v>38</v>
      </c>
      <c r="D215" t="s">
        <v>12</v>
      </c>
      <c r="E215" t="s">
        <v>24</v>
      </c>
      <c r="F215" t="s">
        <v>22</v>
      </c>
      <c r="G215" t="s">
        <v>19</v>
      </c>
      <c r="H215">
        <v>1</v>
      </c>
      <c r="I215">
        <v>2359.4899999999998</v>
      </c>
      <c r="J215">
        <v>0</v>
      </c>
      <c r="K215">
        <v>2359.4899999999998</v>
      </c>
    </row>
    <row r="216" spans="1:11">
      <c r="A216">
        <v>10210</v>
      </c>
      <c r="B216" s="1">
        <v>45725</v>
      </c>
      <c r="C216" t="s">
        <v>38</v>
      </c>
      <c r="D216" t="s">
        <v>12</v>
      </c>
      <c r="E216" t="s">
        <v>27</v>
      </c>
      <c r="F216" t="s">
        <v>14</v>
      </c>
      <c r="G216" t="s">
        <v>15</v>
      </c>
      <c r="H216">
        <v>1</v>
      </c>
      <c r="I216">
        <v>2375.1799999999998</v>
      </c>
      <c r="J216">
        <v>20</v>
      </c>
      <c r="K216">
        <v>2375.1799999999998</v>
      </c>
    </row>
    <row r="217" spans="1:11">
      <c r="A217">
        <v>10608</v>
      </c>
      <c r="B217" s="1">
        <v>45787</v>
      </c>
      <c r="C217" t="s">
        <v>38</v>
      </c>
      <c r="D217" t="s">
        <v>12</v>
      </c>
      <c r="E217" t="s">
        <v>18</v>
      </c>
      <c r="F217" t="s">
        <v>28</v>
      </c>
      <c r="G217" t="s">
        <v>15</v>
      </c>
      <c r="H217">
        <v>1</v>
      </c>
      <c r="I217">
        <v>2379.7800000000002</v>
      </c>
      <c r="J217">
        <v>10</v>
      </c>
      <c r="K217">
        <v>2379.7800000000002</v>
      </c>
    </row>
    <row r="218" spans="1:11">
      <c r="A218">
        <v>10058</v>
      </c>
      <c r="B218" s="1">
        <v>45713</v>
      </c>
      <c r="C218" t="s">
        <v>34</v>
      </c>
      <c r="D218" t="s">
        <v>12</v>
      </c>
      <c r="E218" t="s">
        <v>27</v>
      </c>
      <c r="F218" t="s">
        <v>30</v>
      </c>
      <c r="G218" t="s">
        <v>35</v>
      </c>
      <c r="H218">
        <v>3</v>
      </c>
      <c r="I218">
        <v>793.92</v>
      </c>
      <c r="J218">
        <v>10</v>
      </c>
      <c r="K218">
        <v>2381.7600000000002</v>
      </c>
    </row>
    <row r="219" spans="1:11">
      <c r="A219">
        <v>10201</v>
      </c>
      <c r="B219" s="1">
        <v>45710</v>
      </c>
      <c r="C219" t="s">
        <v>25</v>
      </c>
      <c r="D219" t="s">
        <v>26</v>
      </c>
      <c r="E219" t="s">
        <v>13</v>
      </c>
      <c r="F219" t="s">
        <v>22</v>
      </c>
      <c r="G219" t="s">
        <v>15</v>
      </c>
      <c r="H219">
        <v>1</v>
      </c>
      <c r="I219">
        <v>2383.83</v>
      </c>
      <c r="J219">
        <v>15</v>
      </c>
      <c r="K219">
        <v>2383.83</v>
      </c>
    </row>
    <row r="220" spans="1:11">
      <c r="A220">
        <v>10032</v>
      </c>
      <c r="B220" s="1">
        <v>45785</v>
      </c>
      <c r="C220" t="s">
        <v>25</v>
      </c>
      <c r="D220" t="s">
        <v>26</v>
      </c>
      <c r="E220" t="s">
        <v>24</v>
      </c>
      <c r="F220" t="s">
        <v>31</v>
      </c>
      <c r="G220" t="s">
        <v>35</v>
      </c>
      <c r="H220">
        <v>1</v>
      </c>
      <c r="I220">
        <v>2386.69</v>
      </c>
      <c r="J220">
        <v>10</v>
      </c>
      <c r="K220">
        <v>2386.69</v>
      </c>
    </row>
    <row r="221" spans="1:11">
      <c r="A221">
        <v>10632</v>
      </c>
      <c r="B221" s="1">
        <v>45961</v>
      </c>
      <c r="C221" t="s">
        <v>38</v>
      </c>
      <c r="D221" t="s">
        <v>12</v>
      </c>
      <c r="E221" t="s">
        <v>18</v>
      </c>
      <c r="F221" t="s">
        <v>14</v>
      </c>
      <c r="G221" t="s">
        <v>35</v>
      </c>
      <c r="H221">
        <v>1</v>
      </c>
      <c r="I221">
        <v>2388.84</v>
      </c>
      <c r="J221">
        <v>0</v>
      </c>
      <c r="K221">
        <v>2388.84</v>
      </c>
    </row>
    <row r="222" spans="1:11">
      <c r="A222">
        <v>10430</v>
      </c>
      <c r="B222" s="1">
        <v>45743</v>
      </c>
      <c r="C222" t="s">
        <v>38</v>
      </c>
      <c r="D222" t="s">
        <v>12</v>
      </c>
      <c r="E222" t="s">
        <v>13</v>
      </c>
      <c r="F222" t="s">
        <v>14</v>
      </c>
      <c r="G222" t="s">
        <v>19</v>
      </c>
      <c r="H222">
        <v>1</v>
      </c>
      <c r="I222">
        <v>2389.64</v>
      </c>
      <c r="J222">
        <v>15</v>
      </c>
      <c r="K222">
        <v>2389.64</v>
      </c>
    </row>
    <row r="223" spans="1:11">
      <c r="A223">
        <v>10639</v>
      </c>
      <c r="B223" s="1">
        <v>45677</v>
      </c>
      <c r="C223" t="s">
        <v>38</v>
      </c>
      <c r="D223" t="s">
        <v>12</v>
      </c>
      <c r="E223" t="s">
        <v>24</v>
      </c>
      <c r="F223" t="s">
        <v>28</v>
      </c>
      <c r="G223" t="s">
        <v>19</v>
      </c>
      <c r="H223">
        <v>1</v>
      </c>
      <c r="I223">
        <v>2391.42</v>
      </c>
      <c r="J223">
        <v>10</v>
      </c>
      <c r="K223">
        <v>2391.42</v>
      </c>
    </row>
    <row r="224" spans="1:11">
      <c r="A224">
        <v>10041</v>
      </c>
      <c r="B224" s="1">
        <v>45819</v>
      </c>
      <c r="C224" t="s">
        <v>25</v>
      </c>
      <c r="D224" t="s">
        <v>26</v>
      </c>
      <c r="E224" t="s">
        <v>24</v>
      </c>
      <c r="F224" t="s">
        <v>28</v>
      </c>
      <c r="G224" t="s">
        <v>19</v>
      </c>
      <c r="H224">
        <v>1</v>
      </c>
      <c r="I224">
        <v>2392.36</v>
      </c>
      <c r="J224">
        <v>0</v>
      </c>
      <c r="K224">
        <v>2392.36</v>
      </c>
    </row>
    <row r="225" spans="1:11">
      <c r="A225">
        <v>10079</v>
      </c>
      <c r="B225" s="1">
        <v>45723</v>
      </c>
      <c r="C225" t="s">
        <v>25</v>
      </c>
      <c r="D225" t="s">
        <v>26</v>
      </c>
      <c r="E225" t="s">
        <v>24</v>
      </c>
      <c r="F225" t="s">
        <v>31</v>
      </c>
      <c r="G225" t="s">
        <v>35</v>
      </c>
      <c r="H225">
        <v>1</v>
      </c>
      <c r="I225">
        <v>2395.0300000000002</v>
      </c>
      <c r="J225">
        <v>5</v>
      </c>
      <c r="K225">
        <v>2395.0300000000002</v>
      </c>
    </row>
    <row r="226" spans="1:11">
      <c r="A226">
        <v>10466</v>
      </c>
      <c r="B226" s="1">
        <v>45935</v>
      </c>
      <c r="C226" t="s">
        <v>25</v>
      </c>
      <c r="D226" t="s">
        <v>26</v>
      </c>
      <c r="E226" t="s">
        <v>13</v>
      </c>
      <c r="F226" t="s">
        <v>14</v>
      </c>
      <c r="G226" t="s">
        <v>19</v>
      </c>
      <c r="H226">
        <v>1</v>
      </c>
      <c r="I226">
        <v>2396.61</v>
      </c>
      <c r="J226">
        <v>0</v>
      </c>
      <c r="K226">
        <v>2396.61</v>
      </c>
    </row>
    <row r="227" spans="1:11">
      <c r="A227">
        <v>10497</v>
      </c>
      <c r="B227" s="1">
        <v>45664</v>
      </c>
      <c r="C227" t="s">
        <v>25</v>
      </c>
      <c r="D227" t="s">
        <v>26</v>
      </c>
      <c r="E227" t="s">
        <v>27</v>
      </c>
      <c r="F227" t="s">
        <v>28</v>
      </c>
      <c r="G227" t="s">
        <v>19</v>
      </c>
      <c r="H227">
        <v>1</v>
      </c>
      <c r="I227">
        <v>2411.09</v>
      </c>
      <c r="J227">
        <v>10</v>
      </c>
      <c r="K227">
        <v>2411.09</v>
      </c>
    </row>
    <row r="228" spans="1:11">
      <c r="A228">
        <v>10447</v>
      </c>
      <c r="B228" s="1">
        <v>45815</v>
      </c>
      <c r="C228" t="s">
        <v>25</v>
      </c>
      <c r="D228" t="s">
        <v>26</v>
      </c>
      <c r="E228" t="s">
        <v>27</v>
      </c>
      <c r="F228" t="s">
        <v>30</v>
      </c>
      <c r="G228" t="s">
        <v>15</v>
      </c>
      <c r="H228">
        <v>1</v>
      </c>
      <c r="I228">
        <v>2413.44</v>
      </c>
      <c r="J228">
        <v>15</v>
      </c>
      <c r="K228">
        <v>2413.44</v>
      </c>
    </row>
    <row r="229" spans="1:11">
      <c r="A229">
        <v>10089</v>
      </c>
      <c r="B229" s="1">
        <v>45873</v>
      </c>
      <c r="C229" t="s">
        <v>34</v>
      </c>
      <c r="D229" t="s">
        <v>12</v>
      </c>
      <c r="E229" t="s">
        <v>27</v>
      </c>
      <c r="F229" t="s">
        <v>28</v>
      </c>
      <c r="G229" t="s">
        <v>19</v>
      </c>
      <c r="H229">
        <v>3</v>
      </c>
      <c r="I229">
        <v>809.83</v>
      </c>
      <c r="J229">
        <v>20</v>
      </c>
      <c r="K229">
        <v>2429.4899999999998</v>
      </c>
    </row>
    <row r="230" spans="1:11">
      <c r="A230">
        <v>10508</v>
      </c>
      <c r="B230" s="1">
        <v>45916</v>
      </c>
      <c r="C230" t="s">
        <v>25</v>
      </c>
      <c r="D230" t="s">
        <v>26</v>
      </c>
      <c r="E230" t="s">
        <v>27</v>
      </c>
      <c r="F230" t="s">
        <v>22</v>
      </c>
      <c r="G230" t="s">
        <v>15</v>
      </c>
      <c r="H230">
        <v>1</v>
      </c>
      <c r="I230">
        <v>2434.5100000000002</v>
      </c>
      <c r="J230">
        <v>5</v>
      </c>
      <c r="K230">
        <v>2434.5100000000002</v>
      </c>
    </row>
    <row r="231" spans="1:11">
      <c r="A231">
        <v>10631</v>
      </c>
      <c r="B231" s="1">
        <v>45765</v>
      </c>
      <c r="C231" t="s">
        <v>25</v>
      </c>
      <c r="D231" t="s">
        <v>26</v>
      </c>
      <c r="E231" t="s">
        <v>18</v>
      </c>
      <c r="F231" t="s">
        <v>22</v>
      </c>
      <c r="G231" t="s">
        <v>19</v>
      </c>
      <c r="H231">
        <v>1</v>
      </c>
      <c r="I231">
        <v>2434.94</v>
      </c>
      <c r="J231">
        <v>0</v>
      </c>
      <c r="K231">
        <v>2434.94</v>
      </c>
    </row>
    <row r="232" spans="1:11">
      <c r="A232">
        <v>10609</v>
      </c>
      <c r="B232" s="1">
        <v>45988</v>
      </c>
      <c r="C232" t="s">
        <v>25</v>
      </c>
      <c r="D232" t="s">
        <v>26</v>
      </c>
      <c r="E232" t="s">
        <v>24</v>
      </c>
      <c r="F232" t="s">
        <v>30</v>
      </c>
      <c r="G232" t="s">
        <v>35</v>
      </c>
      <c r="H232">
        <v>1</v>
      </c>
      <c r="I232">
        <v>2436.6999999999998</v>
      </c>
      <c r="J232">
        <v>0</v>
      </c>
      <c r="K232">
        <v>2436.6999999999998</v>
      </c>
    </row>
    <row r="233" spans="1:11">
      <c r="A233">
        <v>10539</v>
      </c>
      <c r="B233" s="1">
        <v>46017</v>
      </c>
      <c r="C233" t="s">
        <v>25</v>
      </c>
      <c r="D233" t="s">
        <v>26</v>
      </c>
      <c r="E233" t="s">
        <v>18</v>
      </c>
      <c r="F233" t="s">
        <v>14</v>
      </c>
      <c r="G233" t="s">
        <v>35</v>
      </c>
      <c r="H233">
        <v>1</v>
      </c>
      <c r="I233">
        <v>2449.3000000000002</v>
      </c>
      <c r="J233">
        <v>15</v>
      </c>
      <c r="K233">
        <v>2449.3000000000002</v>
      </c>
    </row>
    <row r="234" spans="1:11">
      <c r="A234">
        <v>10534</v>
      </c>
      <c r="B234" s="1">
        <v>45924</v>
      </c>
      <c r="C234" t="s">
        <v>25</v>
      </c>
      <c r="D234" t="s">
        <v>26</v>
      </c>
      <c r="E234" t="s">
        <v>13</v>
      </c>
      <c r="F234" t="s">
        <v>31</v>
      </c>
      <c r="G234" t="s">
        <v>35</v>
      </c>
      <c r="H234">
        <v>1</v>
      </c>
      <c r="I234">
        <v>2459.6999999999998</v>
      </c>
      <c r="J234">
        <v>5</v>
      </c>
      <c r="K234">
        <v>2459.6999999999998</v>
      </c>
    </row>
    <row r="235" spans="1:11">
      <c r="A235">
        <v>10197</v>
      </c>
      <c r="B235" s="1">
        <v>45981</v>
      </c>
      <c r="C235" t="s">
        <v>25</v>
      </c>
      <c r="D235" t="s">
        <v>26</v>
      </c>
      <c r="E235" t="s">
        <v>13</v>
      </c>
      <c r="F235" t="s">
        <v>30</v>
      </c>
      <c r="G235" t="s">
        <v>35</v>
      </c>
      <c r="H235">
        <v>1</v>
      </c>
      <c r="I235">
        <v>2462</v>
      </c>
      <c r="J235">
        <v>0</v>
      </c>
      <c r="K235">
        <v>2462</v>
      </c>
    </row>
    <row r="236" spans="1:11">
      <c r="A236">
        <v>10490</v>
      </c>
      <c r="B236" s="1">
        <v>45735</v>
      </c>
      <c r="C236" t="s">
        <v>34</v>
      </c>
      <c r="D236" t="s">
        <v>12</v>
      </c>
      <c r="E236" t="s">
        <v>24</v>
      </c>
      <c r="F236" t="s">
        <v>28</v>
      </c>
      <c r="G236" t="s">
        <v>35</v>
      </c>
      <c r="H236">
        <v>3</v>
      </c>
      <c r="I236">
        <v>823.62</v>
      </c>
      <c r="J236">
        <v>5</v>
      </c>
      <c r="K236">
        <v>2470.86</v>
      </c>
    </row>
    <row r="237" spans="1:11">
      <c r="A237">
        <v>10322</v>
      </c>
      <c r="B237" s="1">
        <v>45687</v>
      </c>
      <c r="C237" t="s">
        <v>25</v>
      </c>
      <c r="D237" t="s">
        <v>26</v>
      </c>
      <c r="E237" t="s">
        <v>27</v>
      </c>
      <c r="F237" t="s">
        <v>31</v>
      </c>
      <c r="G237" t="s">
        <v>35</v>
      </c>
      <c r="H237">
        <v>1</v>
      </c>
      <c r="I237">
        <v>2471.12</v>
      </c>
      <c r="J237">
        <v>0</v>
      </c>
      <c r="K237">
        <v>2471.12</v>
      </c>
    </row>
    <row r="238" spans="1:11">
      <c r="A238">
        <v>10155</v>
      </c>
      <c r="B238" s="1">
        <v>45717</v>
      </c>
      <c r="C238" t="s">
        <v>25</v>
      </c>
      <c r="D238" t="s">
        <v>26</v>
      </c>
      <c r="E238" t="s">
        <v>24</v>
      </c>
      <c r="F238" t="s">
        <v>14</v>
      </c>
      <c r="G238" t="s">
        <v>35</v>
      </c>
      <c r="H238">
        <v>1</v>
      </c>
      <c r="I238">
        <v>2471.17</v>
      </c>
      <c r="J238">
        <v>0</v>
      </c>
      <c r="K238">
        <v>2471.17</v>
      </c>
    </row>
    <row r="239" spans="1:11">
      <c r="A239">
        <v>10492</v>
      </c>
      <c r="B239" s="1">
        <v>45951</v>
      </c>
      <c r="C239" t="s">
        <v>25</v>
      </c>
      <c r="D239" t="s">
        <v>26</v>
      </c>
      <c r="E239" t="s">
        <v>18</v>
      </c>
      <c r="F239" t="s">
        <v>31</v>
      </c>
      <c r="G239" t="s">
        <v>19</v>
      </c>
      <c r="H239">
        <v>1</v>
      </c>
      <c r="I239">
        <v>2472.71</v>
      </c>
      <c r="J239">
        <v>20</v>
      </c>
      <c r="K239">
        <v>2472.71</v>
      </c>
    </row>
    <row r="240" spans="1:11">
      <c r="A240">
        <v>10143</v>
      </c>
      <c r="B240" s="1">
        <v>45853</v>
      </c>
      <c r="C240" t="s">
        <v>32</v>
      </c>
      <c r="D240" t="s">
        <v>26</v>
      </c>
      <c r="E240" t="s">
        <v>13</v>
      </c>
      <c r="F240" t="s">
        <v>33</v>
      </c>
      <c r="G240" t="s">
        <v>19</v>
      </c>
      <c r="H240">
        <v>2</v>
      </c>
      <c r="I240">
        <v>1236.9000000000001</v>
      </c>
      <c r="J240">
        <v>20</v>
      </c>
      <c r="K240">
        <v>2473.8000000000002</v>
      </c>
    </row>
    <row r="241" spans="1:11">
      <c r="A241">
        <v>10132</v>
      </c>
      <c r="B241" s="1">
        <v>45709</v>
      </c>
      <c r="C241" t="s">
        <v>25</v>
      </c>
      <c r="D241" t="s">
        <v>26</v>
      </c>
      <c r="E241" t="s">
        <v>27</v>
      </c>
      <c r="F241" t="s">
        <v>28</v>
      </c>
      <c r="G241" t="s">
        <v>35</v>
      </c>
      <c r="H241">
        <v>1</v>
      </c>
      <c r="I241">
        <v>2476.5</v>
      </c>
      <c r="J241">
        <v>15</v>
      </c>
      <c r="K241">
        <v>2476.5</v>
      </c>
    </row>
    <row r="242" spans="1:11">
      <c r="A242">
        <v>10640</v>
      </c>
      <c r="B242" s="1">
        <v>46005</v>
      </c>
      <c r="C242" t="s">
        <v>34</v>
      </c>
      <c r="D242" t="s">
        <v>12</v>
      </c>
      <c r="E242" t="s">
        <v>27</v>
      </c>
      <c r="F242" t="s">
        <v>33</v>
      </c>
      <c r="G242" t="s">
        <v>19</v>
      </c>
      <c r="H242">
        <v>3</v>
      </c>
      <c r="I242">
        <v>828.95</v>
      </c>
      <c r="J242">
        <v>15</v>
      </c>
      <c r="K242">
        <v>2486.85</v>
      </c>
    </row>
    <row r="243" spans="1:11">
      <c r="A243">
        <v>10285</v>
      </c>
      <c r="B243" s="1">
        <v>45933</v>
      </c>
      <c r="C243" t="s">
        <v>32</v>
      </c>
      <c r="D243" t="s">
        <v>26</v>
      </c>
      <c r="E243" t="s">
        <v>13</v>
      </c>
      <c r="F243" t="s">
        <v>33</v>
      </c>
      <c r="G243" t="s">
        <v>35</v>
      </c>
      <c r="H243">
        <v>2</v>
      </c>
      <c r="I243">
        <v>1251.8800000000001</v>
      </c>
      <c r="J243">
        <v>10</v>
      </c>
      <c r="K243">
        <v>2503.7600000000002</v>
      </c>
    </row>
    <row r="244" spans="1:11">
      <c r="A244">
        <v>10302</v>
      </c>
      <c r="B244" s="1">
        <v>45933</v>
      </c>
      <c r="C244" t="s">
        <v>25</v>
      </c>
      <c r="D244" t="s">
        <v>26</v>
      </c>
      <c r="E244" t="s">
        <v>18</v>
      </c>
      <c r="F244" t="s">
        <v>14</v>
      </c>
      <c r="G244" t="s">
        <v>35</v>
      </c>
      <c r="H244">
        <v>1</v>
      </c>
      <c r="I244">
        <v>2505.37</v>
      </c>
      <c r="J244">
        <v>10</v>
      </c>
      <c r="K244">
        <v>2505.37</v>
      </c>
    </row>
    <row r="245" spans="1:11">
      <c r="A245">
        <v>10389</v>
      </c>
      <c r="B245" s="1">
        <v>45807</v>
      </c>
      <c r="C245" t="s">
        <v>32</v>
      </c>
      <c r="D245" t="s">
        <v>26</v>
      </c>
      <c r="E245" t="s">
        <v>24</v>
      </c>
      <c r="F245" t="s">
        <v>30</v>
      </c>
      <c r="G245" t="s">
        <v>15</v>
      </c>
      <c r="H245">
        <v>2</v>
      </c>
      <c r="I245">
        <v>1255.9000000000001</v>
      </c>
      <c r="J245">
        <v>5</v>
      </c>
      <c r="K245">
        <v>2511.8000000000002</v>
      </c>
    </row>
    <row r="246" spans="1:11">
      <c r="A246">
        <v>10313</v>
      </c>
      <c r="B246" s="1">
        <v>45784</v>
      </c>
      <c r="C246" t="s">
        <v>32</v>
      </c>
      <c r="D246" t="s">
        <v>26</v>
      </c>
      <c r="E246" t="s">
        <v>27</v>
      </c>
      <c r="F246" t="s">
        <v>30</v>
      </c>
      <c r="G246" t="s">
        <v>15</v>
      </c>
      <c r="H246">
        <v>2</v>
      </c>
      <c r="I246">
        <v>1258.53</v>
      </c>
      <c r="J246">
        <v>15</v>
      </c>
      <c r="K246">
        <v>2517.06</v>
      </c>
    </row>
    <row r="247" spans="1:11">
      <c r="A247">
        <v>10482</v>
      </c>
      <c r="B247" s="1">
        <v>46018</v>
      </c>
      <c r="C247" t="s">
        <v>25</v>
      </c>
      <c r="D247" t="s">
        <v>26</v>
      </c>
      <c r="E247" t="s">
        <v>24</v>
      </c>
      <c r="F247" t="s">
        <v>31</v>
      </c>
      <c r="G247" t="s">
        <v>35</v>
      </c>
      <c r="H247">
        <v>1</v>
      </c>
      <c r="I247">
        <v>2525.8200000000002</v>
      </c>
      <c r="J247">
        <v>5</v>
      </c>
      <c r="K247">
        <v>2525.8200000000002</v>
      </c>
    </row>
    <row r="248" spans="1:11">
      <c r="A248">
        <v>10223</v>
      </c>
      <c r="B248" s="1">
        <v>45690</v>
      </c>
      <c r="C248" t="s">
        <v>25</v>
      </c>
      <c r="D248" t="s">
        <v>26</v>
      </c>
      <c r="E248" t="s">
        <v>24</v>
      </c>
      <c r="F248" t="s">
        <v>31</v>
      </c>
      <c r="G248" t="s">
        <v>35</v>
      </c>
      <c r="H248">
        <v>1</v>
      </c>
      <c r="I248">
        <v>2531.98</v>
      </c>
      <c r="J248">
        <v>10</v>
      </c>
      <c r="K248">
        <v>2531.98</v>
      </c>
    </row>
    <row r="249" spans="1:11">
      <c r="A249">
        <v>10153</v>
      </c>
      <c r="B249" s="1">
        <v>45670</v>
      </c>
      <c r="C249" t="s">
        <v>25</v>
      </c>
      <c r="D249" t="s">
        <v>26</v>
      </c>
      <c r="E249" t="s">
        <v>13</v>
      </c>
      <c r="F249" t="s">
        <v>33</v>
      </c>
      <c r="G249" t="s">
        <v>15</v>
      </c>
      <c r="H249">
        <v>1</v>
      </c>
      <c r="I249">
        <v>2532.84</v>
      </c>
      <c r="J249">
        <v>5</v>
      </c>
      <c r="K249">
        <v>2532.84</v>
      </c>
    </row>
    <row r="250" spans="1:11">
      <c r="A250">
        <v>10310</v>
      </c>
      <c r="B250" s="1">
        <v>45851</v>
      </c>
      <c r="C250" t="s">
        <v>25</v>
      </c>
      <c r="D250" t="s">
        <v>26</v>
      </c>
      <c r="E250" t="s">
        <v>27</v>
      </c>
      <c r="F250" t="s">
        <v>28</v>
      </c>
      <c r="G250" t="s">
        <v>35</v>
      </c>
      <c r="H250">
        <v>1</v>
      </c>
      <c r="I250">
        <v>2537.37</v>
      </c>
      <c r="J250">
        <v>0</v>
      </c>
      <c r="K250">
        <v>2537.37</v>
      </c>
    </row>
    <row r="251" spans="1:11">
      <c r="A251">
        <v>10043</v>
      </c>
      <c r="B251" s="1">
        <v>45936</v>
      </c>
      <c r="C251" t="s">
        <v>25</v>
      </c>
      <c r="D251" t="s">
        <v>26</v>
      </c>
      <c r="E251" t="s">
        <v>13</v>
      </c>
      <c r="F251" t="s">
        <v>33</v>
      </c>
      <c r="G251" t="s">
        <v>35</v>
      </c>
      <c r="H251">
        <v>1</v>
      </c>
      <c r="I251">
        <v>2540.9499999999998</v>
      </c>
      <c r="J251">
        <v>10</v>
      </c>
      <c r="K251">
        <v>2540.9499999999998</v>
      </c>
    </row>
    <row r="252" spans="1:11">
      <c r="A252">
        <v>10400</v>
      </c>
      <c r="B252" s="1">
        <v>45907</v>
      </c>
      <c r="C252" t="s">
        <v>25</v>
      </c>
      <c r="D252" t="s">
        <v>26</v>
      </c>
      <c r="E252" t="s">
        <v>13</v>
      </c>
      <c r="F252" t="s">
        <v>33</v>
      </c>
      <c r="G252" t="s">
        <v>15</v>
      </c>
      <c r="H252">
        <v>1</v>
      </c>
      <c r="I252">
        <v>2556.71</v>
      </c>
      <c r="J252">
        <v>5</v>
      </c>
      <c r="K252">
        <v>2556.71</v>
      </c>
    </row>
    <row r="253" spans="1:11">
      <c r="A253">
        <v>10427</v>
      </c>
      <c r="B253" s="1">
        <v>45835</v>
      </c>
      <c r="C253" t="s">
        <v>25</v>
      </c>
      <c r="D253" t="s">
        <v>26</v>
      </c>
      <c r="E253" t="s">
        <v>13</v>
      </c>
      <c r="F253" t="s">
        <v>14</v>
      </c>
      <c r="G253" t="s">
        <v>19</v>
      </c>
      <c r="H253">
        <v>1</v>
      </c>
      <c r="I253">
        <v>2561.42</v>
      </c>
      <c r="J253">
        <v>20</v>
      </c>
      <c r="K253">
        <v>2561.42</v>
      </c>
    </row>
    <row r="254" spans="1:11">
      <c r="A254">
        <v>10327</v>
      </c>
      <c r="B254" s="1">
        <v>45861</v>
      </c>
      <c r="C254" t="s">
        <v>32</v>
      </c>
      <c r="D254" t="s">
        <v>26</v>
      </c>
      <c r="E254" t="s">
        <v>18</v>
      </c>
      <c r="F254" t="s">
        <v>33</v>
      </c>
      <c r="G254" t="s">
        <v>19</v>
      </c>
      <c r="H254">
        <v>2</v>
      </c>
      <c r="I254">
        <v>1283.5</v>
      </c>
      <c r="J254">
        <v>10</v>
      </c>
      <c r="K254">
        <v>2567</v>
      </c>
    </row>
    <row r="255" spans="1:11">
      <c r="A255">
        <v>10635</v>
      </c>
      <c r="B255" s="1">
        <v>45745</v>
      </c>
      <c r="C255" t="s">
        <v>25</v>
      </c>
      <c r="D255" t="s">
        <v>26</v>
      </c>
      <c r="E255" t="s">
        <v>18</v>
      </c>
      <c r="F255" t="s">
        <v>31</v>
      </c>
      <c r="G255" t="s">
        <v>35</v>
      </c>
      <c r="H255">
        <v>1</v>
      </c>
      <c r="I255">
        <v>2572.62</v>
      </c>
      <c r="J255">
        <v>20</v>
      </c>
      <c r="K255">
        <v>2572.62</v>
      </c>
    </row>
    <row r="256" spans="1:11">
      <c r="A256">
        <v>10264</v>
      </c>
      <c r="B256" s="1">
        <v>45892</v>
      </c>
      <c r="C256" t="s">
        <v>29</v>
      </c>
      <c r="D256" t="s">
        <v>26</v>
      </c>
      <c r="E256" t="s">
        <v>18</v>
      </c>
      <c r="F256" t="s">
        <v>14</v>
      </c>
      <c r="G256" t="s">
        <v>35</v>
      </c>
      <c r="H256">
        <v>3</v>
      </c>
      <c r="I256">
        <v>858.42</v>
      </c>
      <c r="J256">
        <v>0</v>
      </c>
      <c r="K256">
        <v>2575.2600000000002</v>
      </c>
    </row>
    <row r="257" spans="1:11">
      <c r="A257">
        <v>10513</v>
      </c>
      <c r="B257" s="1">
        <v>45787</v>
      </c>
      <c r="C257" t="s">
        <v>32</v>
      </c>
      <c r="D257" t="s">
        <v>26</v>
      </c>
      <c r="E257" t="s">
        <v>13</v>
      </c>
      <c r="F257" t="s">
        <v>22</v>
      </c>
      <c r="G257" t="s">
        <v>35</v>
      </c>
      <c r="H257">
        <v>2</v>
      </c>
      <c r="I257">
        <v>1289.0999999999999</v>
      </c>
      <c r="J257">
        <v>5</v>
      </c>
      <c r="K257">
        <v>2578.1999999999998</v>
      </c>
    </row>
    <row r="258" spans="1:11">
      <c r="A258">
        <v>10521</v>
      </c>
      <c r="B258" s="1">
        <v>46001</v>
      </c>
      <c r="C258" t="s">
        <v>25</v>
      </c>
      <c r="D258" t="s">
        <v>26</v>
      </c>
      <c r="E258" t="s">
        <v>13</v>
      </c>
      <c r="F258" t="s">
        <v>33</v>
      </c>
      <c r="G258" t="s">
        <v>19</v>
      </c>
      <c r="H258">
        <v>1</v>
      </c>
      <c r="I258">
        <v>2584.13</v>
      </c>
      <c r="J258">
        <v>10</v>
      </c>
      <c r="K258">
        <v>2584.13</v>
      </c>
    </row>
    <row r="259" spans="1:11">
      <c r="A259">
        <v>10615</v>
      </c>
      <c r="B259" s="1">
        <v>45940</v>
      </c>
      <c r="C259" t="s">
        <v>25</v>
      </c>
      <c r="D259" t="s">
        <v>26</v>
      </c>
      <c r="E259" t="s">
        <v>24</v>
      </c>
      <c r="F259" t="s">
        <v>14</v>
      </c>
      <c r="G259" t="s">
        <v>35</v>
      </c>
      <c r="H259">
        <v>1</v>
      </c>
      <c r="I259">
        <v>2584.41</v>
      </c>
      <c r="J259">
        <v>20</v>
      </c>
      <c r="K259">
        <v>2584.41</v>
      </c>
    </row>
    <row r="260" spans="1:11">
      <c r="A260">
        <v>10265</v>
      </c>
      <c r="B260" s="1">
        <v>45963</v>
      </c>
      <c r="C260" t="s">
        <v>25</v>
      </c>
      <c r="D260" t="s">
        <v>26</v>
      </c>
      <c r="E260" t="s">
        <v>27</v>
      </c>
      <c r="F260" t="s">
        <v>30</v>
      </c>
      <c r="G260" t="s">
        <v>35</v>
      </c>
      <c r="H260">
        <v>1</v>
      </c>
      <c r="I260">
        <v>2585.7600000000002</v>
      </c>
      <c r="J260">
        <v>5</v>
      </c>
      <c r="K260">
        <v>2585.7600000000002</v>
      </c>
    </row>
    <row r="261" spans="1:11">
      <c r="A261">
        <v>10552</v>
      </c>
      <c r="B261" s="1">
        <v>45750</v>
      </c>
      <c r="C261" t="s">
        <v>25</v>
      </c>
      <c r="D261" t="s">
        <v>26</v>
      </c>
      <c r="E261" t="s">
        <v>27</v>
      </c>
      <c r="F261" t="s">
        <v>30</v>
      </c>
      <c r="G261" t="s">
        <v>35</v>
      </c>
      <c r="H261">
        <v>1</v>
      </c>
      <c r="I261">
        <v>2589.61</v>
      </c>
      <c r="J261">
        <v>20</v>
      </c>
      <c r="K261">
        <v>2589.61</v>
      </c>
    </row>
    <row r="262" spans="1:11">
      <c r="A262">
        <v>10525</v>
      </c>
      <c r="B262" s="1">
        <v>45685</v>
      </c>
      <c r="C262" t="s">
        <v>25</v>
      </c>
      <c r="D262" t="s">
        <v>26</v>
      </c>
      <c r="E262" t="s">
        <v>24</v>
      </c>
      <c r="F262" t="s">
        <v>40</v>
      </c>
      <c r="G262" t="s">
        <v>15</v>
      </c>
      <c r="H262">
        <v>1</v>
      </c>
      <c r="I262">
        <v>2590.84</v>
      </c>
      <c r="J262">
        <v>5</v>
      </c>
      <c r="K262">
        <v>2590.84</v>
      </c>
    </row>
    <row r="263" spans="1:11">
      <c r="A263">
        <v>10068</v>
      </c>
      <c r="B263" s="1">
        <v>45862</v>
      </c>
      <c r="C263" t="s">
        <v>25</v>
      </c>
      <c r="D263" t="s">
        <v>26</v>
      </c>
      <c r="E263" t="s">
        <v>18</v>
      </c>
      <c r="F263" t="s">
        <v>14</v>
      </c>
      <c r="G263" t="s">
        <v>35</v>
      </c>
      <c r="H263">
        <v>1</v>
      </c>
      <c r="I263">
        <v>2597.13</v>
      </c>
      <c r="J263">
        <v>20</v>
      </c>
      <c r="K263">
        <v>2597.13</v>
      </c>
    </row>
    <row r="264" spans="1:11">
      <c r="A264">
        <v>10413</v>
      </c>
      <c r="B264" s="1">
        <v>45837</v>
      </c>
      <c r="C264" t="s">
        <v>25</v>
      </c>
      <c r="D264" t="s">
        <v>26</v>
      </c>
      <c r="E264" t="s">
        <v>18</v>
      </c>
      <c r="F264" t="s">
        <v>22</v>
      </c>
      <c r="G264" t="s">
        <v>35</v>
      </c>
      <c r="H264">
        <v>1</v>
      </c>
      <c r="I264">
        <v>2603.9299999999998</v>
      </c>
      <c r="J264">
        <v>10</v>
      </c>
      <c r="K264">
        <v>2603.9299999999998</v>
      </c>
    </row>
    <row r="265" spans="1:11">
      <c r="A265">
        <v>10293</v>
      </c>
      <c r="B265" s="1">
        <v>45897</v>
      </c>
      <c r="C265" t="s">
        <v>29</v>
      </c>
      <c r="D265" t="s">
        <v>26</v>
      </c>
      <c r="E265" t="s">
        <v>13</v>
      </c>
      <c r="F265" t="s">
        <v>14</v>
      </c>
      <c r="G265" t="s">
        <v>15</v>
      </c>
      <c r="H265">
        <v>3</v>
      </c>
      <c r="I265">
        <v>868.66</v>
      </c>
      <c r="J265">
        <v>5</v>
      </c>
      <c r="K265">
        <v>2605.98</v>
      </c>
    </row>
    <row r="266" spans="1:11">
      <c r="A266">
        <v>10369</v>
      </c>
      <c r="B266" s="1">
        <v>45962</v>
      </c>
      <c r="C266" t="s">
        <v>29</v>
      </c>
      <c r="D266" t="s">
        <v>26</v>
      </c>
      <c r="E266" t="s">
        <v>24</v>
      </c>
      <c r="F266" t="s">
        <v>28</v>
      </c>
      <c r="G266" t="s">
        <v>15</v>
      </c>
      <c r="H266">
        <v>3</v>
      </c>
      <c r="I266">
        <v>869</v>
      </c>
      <c r="J266">
        <v>10</v>
      </c>
      <c r="K266">
        <v>2607</v>
      </c>
    </row>
    <row r="267" spans="1:11">
      <c r="A267">
        <v>10014</v>
      </c>
      <c r="B267" s="1">
        <v>45792</v>
      </c>
      <c r="C267" t="s">
        <v>29</v>
      </c>
      <c r="D267" t="s">
        <v>26</v>
      </c>
      <c r="E267" t="s">
        <v>27</v>
      </c>
      <c r="F267" t="s">
        <v>33</v>
      </c>
      <c r="G267" t="s">
        <v>19</v>
      </c>
      <c r="H267">
        <v>3</v>
      </c>
      <c r="I267">
        <v>873.77</v>
      </c>
      <c r="J267">
        <v>0</v>
      </c>
      <c r="K267">
        <v>2621.31</v>
      </c>
    </row>
    <row r="268" spans="1:11">
      <c r="A268">
        <v>10543</v>
      </c>
      <c r="B268" s="1">
        <v>45912</v>
      </c>
      <c r="C268" t="s">
        <v>29</v>
      </c>
      <c r="D268" t="s">
        <v>26</v>
      </c>
      <c r="E268" t="s">
        <v>18</v>
      </c>
      <c r="F268" t="s">
        <v>22</v>
      </c>
      <c r="G268" t="s">
        <v>19</v>
      </c>
      <c r="H268">
        <v>3</v>
      </c>
      <c r="I268">
        <v>875.13</v>
      </c>
      <c r="J268">
        <v>0</v>
      </c>
      <c r="K268">
        <v>2625.39</v>
      </c>
    </row>
    <row r="269" spans="1:11">
      <c r="A269">
        <v>10159</v>
      </c>
      <c r="B269" s="1">
        <v>45720</v>
      </c>
      <c r="C269" t="s">
        <v>32</v>
      </c>
      <c r="D269" t="s">
        <v>26</v>
      </c>
      <c r="E269" t="s">
        <v>27</v>
      </c>
      <c r="F269" t="s">
        <v>28</v>
      </c>
      <c r="G269" t="s">
        <v>35</v>
      </c>
      <c r="H269">
        <v>2</v>
      </c>
      <c r="I269">
        <v>1317.41</v>
      </c>
      <c r="J269">
        <v>10</v>
      </c>
      <c r="K269">
        <v>2634.82</v>
      </c>
    </row>
    <row r="270" spans="1:11">
      <c r="A270">
        <v>10326</v>
      </c>
      <c r="B270" s="1">
        <v>45755</v>
      </c>
      <c r="C270" t="s">
        <v>32</v>
      </c>
      <c r="D270" t="s">
        <v>26</v>
      </c>
      <c r="E270" t="s">
        <v>24</v>
      </c>
      <c r="F270" t="s">
        <v>22</v>
      </c>
      <c r="G270" t="s">
        <v>19</v>
      </c>
      <c r="H270">
        <v>2</v>
      </c>
      <c r="I270">
        <v>1324.41</v>
      </c>
      <c r="J270">
        <v>15</v>
      </c>
      <c r="K270">
        <v>2648.82</v>
      </c>
    </row>
    <row r="271" spans="1:11">
      <c r="A271">
        <v>10281</v>
      </c>
      <c r="B271" s="1">
        <v>45800</v>
      </c>
      <c r="C271" t="s">
        <v>32</v>
      </c>
      <c r="D271" t="s">
        <v>26</v>
      </c>
      <c r="E271" t="s">
        <v>13</v>
      </c>
      <c r="F271" t="s">
        <v>14</v>
      </c>
      <c r="G271" t="s">
        <v>19</v>
      </c>
      <c r="H271">
        <v>2</v>
      </c>
      <c r="I271">
        <v>1325.62</v>
      </c>
      <c r="J271">
        <v>15</v>
      </c>
      <c r="K271">
        <v>2651.24</v>
      </c>
    </row>
    <row r="272" spans="1:11">
      <c r="A272">
        <v>10641</v>
      </c>
      <c r="B272" s="1">
        <v>45877</v>
      </c>
      <c r="C272" t="s">
        <v>29</v>
      </c>
      <c r="D272" t="s">
        <v>26</v>
      </c>
      <c r="E272" t="s">
        <v>18</v>
      </c>
      <c r="F272" t="s">
        <v>31</v>
      </c>
      <c r="G272" t="s">
        <v>19</v>
      </c>
      <c r="H272">
        <v>3</v>
      </c>
      <c r="I272">
        <v>907.01</v>
      </c>
      <c r="J272">
        <v>15</v>
      </c>
      <c r="K272">
        <v>2721.03</v>
      </c>
    </row>
    <row r="273" spans="1:11">
      <c r="A273">
        <v>10368</v>
      </c>
      <c r="B273" s="1">
        <v>46012</v>
      </c>
      <c r="C273" t="s">
        <v>29</v>
      </c>
      <c r="D273" t="s">
        <v>26</v>
      </c>
      <c r="E273" t="s">
        <v>27</v>
      </c>
      <c r="F273" t="s">
        <v>33</v>
      </c>
      <c r="G273" t="s">
        <v>15</v>
      </c>
      <c r="H273">
        <v>3</v>
      </c>
      <c r="I273">
        <v>917.13</v>
      </c>
      <c r="J273">
        <v>20</v>
      </c>
      <c r="K273">
        <v>2751.39</v>
      </c>
    </row>
    <row r="274" spans="1:11">
      <c r="A274">
        <v>10409</v>
      </c>
      <c r="B274" s="1">
        <v>46006</v>
      </c>
      <c r="C274" t="s">
        <v>29</v>
      </c>
      <c r="D274" t="s">
        <v>26</v>
      </c>
      <c r="E274" t="s">
        <v>27</v>
      </c>
      <c r="F274" t="s">
        <v>28</v>
      </c>
      <c r="G274" t="s">
        <v>15</v>
      </c>
      <c r="H274">
        <v>3</v>
      </c>
      <c r="I274">
        <v>927.51</v>
      </c>
      <c r="J274">
        <v>20</v>
      </c>
      <c r="K274">
        <v>2782.53</v>
      </c>
    </row>
    <row r="275" spans="1:11">
      <c r="A275">
        <v>10614</v>
      </c>
      <c r="B275" s="1">
        <v>46005</v>
      </c>
      <c r="C275" t="s">
        <v>11</v>
      </c>
      <c r="D275" t="s">
        <v>12</v>
      </c>
      <c r="E275" t="s">
        <v>13</v>
      </c>
      <c r="F275" t="s">
        <v>31</v>
      </c>
      <c r="G275" t="s">
        <v>19</v>
      </c>
      <c r="H275">
        <v>10</v>
      </c>
      <c r="I275">
        <v>294.77999999999997</v>
      </c>
      <c r="J275">
        <v>0</v>
      </c>
      <c r="K275">
        <v>2947.8</v>
      </c>
    </row>
    <row r="276" spans="1:11">
      <c r="A276">
        <v>10367</v>
      </c>
      <c r="B276" s="1">
        <v>45874</v>
      </c>
      <c r="C276" t="s">
        <v>11</v>
      </c>
      <c r="D276" t="s">
        <v>12</v>
      </c>
      <c r="E276" t="s">
        <v>27</v>
      </c>
      <c r="F276" t="s">
        <v>28</v>
      </c>
      <c r="G276" t="s">
        <v>19</v>
      </c>
      <c r="H276">
        <v>10</v>
      </c>
      <c r="I276">
        <v>301.45999999999998</v>
      </c>
      <c r="J276">
        <v>10</v>
      </c>
      <c r="K276">
        <v>3014.6</v>
      </c>
    </row>
    <row r="277" spans="1:11">
      <c r="A277">
        <v>10435</v>
      </c>
      <c r="B277" s="1">
        <v>45772</v>
      </c>
      <c r="C277" t="s">
        <v>11</v>
      </c>
      <c r="D277" t="s">
        <v>12</v>
      </c>
      <c r="E277" t="s">
        <v>24</v>
      </c>
      <c r="F277" t="s">
        <v>31</v>
      </c>
      <c r="G277" t="s">
        <v>15</v>
      </c>
      <c r="H277">
        <v>10</v>
      </c>
      <c r="I277">
        <v>309.94</v>
      </c>
      <c r="J277">
        <v>20</v>
      </c>
      <c r="K277">
        <v>3099.4</v>
      </c>
    </row>
    <row r="278" spans="1:11">
      <c r="A278">
        <v>10556</v>
      </c>
      <c r="B278" s="1">
        <v>45986</v>
      </c>
      <c r="C278" t="s">
        <v>23</v>
      </c>
      <c r="D278" t="s">
        <v>12</v>
      </c>
      <c r="E278" t="s">
        <v>27</v>
      </c>
      <c r="F278" t="s">
        <v>14</v>
      </c>
      <c r="G278" t="s">
        <v>35</v>
      </c>
      <c r="H278">
        <v>1</v>
      </c>
      <c r="I278">
        <v>3328.12</v>
      </c>
      <c r="J278">
        <v>0</v>
      </c>
      <c r="K278">
        <v>3328.12</v>
      </c>
    </row>
    <row r="279" spans="1:11">
      <c r="A279">
        <v>10007</v>
      </c>
      <c r="B279" s="1">
        <v>45974</v>
      </c>
      <c r="C279" t="s">
        <v>23</v>
      </c>
      <c r="D279" t="s">
        <v>12</v>
      </c>
      <c r="E279" t="s">
        <v>13</v>
      </c>
      <c r="F279" t="s">
        <v>33</v>
      </c>
      <c r="G279" t="s">
        <v>15</v>
      </c>
      <c r="H279">
        <v>1</v>
      </c>
      <c r="I279">
        <v>3340.08</v>
      </c>
      <c r="J279">
        <v>0</v>
      </c>
      <c r="K279">
        <v>3340.08</v>
      </c>
    </row>
    <row r="280" spans="1:11">
      <c r="A280">
        <v>10596</v>
      </c>
      <c r="B280" s="1">
        <v>45980</v>
      </c>
      <c r="C280" t="s">
        <v>23</v>
      </c>
      <c r="D280" t="s">
        <v>12</v>
      </c>
      <c r="E280" t="s">
        <v>18</v>
      </c>
      <c r="F280" t="s">
        <v>22</v>
      </c>
      <c r="G280" t="s">
        <v>19</v>
      </c>
      <c r="H280">
        <v>1</v>
      </c>
      <c r="I280">
        <v>3395.98</v>
      </c>
      <c r="J280">
        <v>20</v>
      </c>
      <c r="K280">
        <v>3395.98</v>
      </c>
    </row>
    <row r="281" spans="1:11">
      <c r="A281">
        <v>10215</v>
      </c>
      <c r="B281" s="1">
        <v>45904</v>
      </c>
      <c r="C281" t="s">
        <v>23</v>
      </c>
      <c r="D281" t="s">
        <v>12</v>
      </c>
      <c r="E281" t="s">
        <v>13</v>
      </c>
      <c r="F281" t="s">
        <v>33</v>
      </c>
      <c r="G281" t="s">
        <v>15</v>
      </c>
      <c r="H281">
        <v>1</v>
      </c>
      <c r="I281">
        <v>3423.79</v>
      </c>
      <c r="J281">
        <v>20</v>
      </c>
      <c r="K281">
        <v>3423.79</v>
      </c>
    </row>
    <row r="282" spans="1:11">
      <c r="A282">
        <v>10283</v>
      </c>
      <c r="B282" s="1">
        <v>45936</v>
      </c>
      <c r="C282" t="s">
        <v>23</v>
      </c>
      <c r="D282" t="s">
        <v>12</v>
      </c>
      <c r="E282" t="s">
        <v>27</v>
      </c>
      <c r="F282" t="s">
        <v>31</v>
      </c>
      <c r="G282" t="s">
        <v>19</v>
      </c>
      <c r="H282">
        <v>1</v>
      </c>
      <c r="I282">
        <v>3425.68</v>
      </c>
      <c r="J282">
        <v>0</v>
      </c>
      <c r="K282">
        <v>3425.68</v>
      </c>
    </row>
    <row r="283" spans="1:11">
      <c r="A283">
        <v>10063</v>
      </c>
      <c r="B283" s="1">
        <v>45747</v>
      </c>
      <c r="C283" t="s">
        <v>23</v>
      </c>
      <c r="D283" t="s">
        <v>12</v>
      </c>
      <c r="E283" t="s">
        <v>13</v>
      </c>
      <c r="F283" t="s">
        <v>31</v>
      </c>
      <c r="G283" t="s">
        <v>35</v>
      </c>
      <c r="H283">
        <v>1</v>
      </c>
      <c r="I283">
        <v>3430.38</v>
      </c>
      <c r="J283">
        <v>0</v>
      </c>
      <c r="K283">
        <v>3430.38</v>
      </c>
    </row>
    <row r="284" spans="1:11">
      <c r="A284">
        <v>10196</v>
      </c>
      <c r="B284" s="1">
        <v>45983</v>
      </c>
      <c r="C284" t="s">
        <v>23</v>
      </c>
      <c r="D284" t="s">
        <v>12</v>
      </c>
      <c r="E284" t="s">
        <v>13</v>
      </c>
      <c r="F284" t="s">
        <v>22</v>
      </c>
      <c r="G284" t="s">
        <v>19</v>
      </c>
      <c r="H284">
        <v>1</v>
      </c>
      <c r="I284">
        <v>3477.92</v>
      </c>
      <c r="J284">
        <v>5</v>
      </c>
      <c r="K284">
        <v>3477.92</v>
      </c>
    </row>
    <row r="285" spans="1:11">
      <c r="A285">
        <v>10199</v>
      </c>
      <c r="B285" s="1">
        <v>45704</v>
      </c>
      <c r="C285" t="s">
        <v>23</v>
      </c>
      <c r="D285" t="s">
        <v>12</v>
      </c>
      <c r="E285" t="s">
        <v>27</v>
      </c>
      <c r="F285" t="s">
        <v>31</v>
      </c>
      <c r="G285" t="s">
        <v>35</v>
      </c>
      <c r="H285">
        <v>1</v>
      </c>
      <c r="I285">
        <v>3481.41</v>
      </c>
      <c r="J285">
        <v>20</v>
      </c>
      <c r="K285">
        <v>3481.41</v>
      </c>
    </row>
    <row r="286" spans="1:11">
      <c r="A286">
        <v>10376</v>
      </c>
      <c r="B286" s="1">
        <v>45713</v>
      </c>
      <c r="C286" t="s">
        <v>23</v>
      </c>
      <c r="D286" t="s">
        <v>12</v>
      </c>
      <c r="E286" t="s">
        <v>18</v>
      </c>
      <c r="F286" t="s">
        <v>22</v>
      </c>
      <c r="G286" t="s">
        <v>15</v>
      </c>
      <c r="H286">
        <v>1</v>
      </c>
      <c r="I286">
        <v>3517.16</v>
      </c>
      <c r="J286">
        <v>0</v>
      </c>
      <c r="K286">
        <v>3517.16</v>
      </c>
    </row>
    <row r="287" spans="1:11">
      <c r="A287">
        <v>10040</v>
      </c>
      <c r="B287" s="1">
        <v>45818</v>
      </c>
      <c r="C287" t="s">
        <v>23</v>
      </c>
      <c r="D287" t="s">
        <v>12</v>
      </c>
      <c r="E287" t="s">
        <v>18</v>
      </c>
      <c r="F287" t="s">
        <v>30</v>
      </c>
      <c r="G287" t="s">
        <v>19</v>
      </c>
      <c r="H287">
        <v>1</v>
      </c>
      <c r="I287">
        <v>3559.07</v>
      </c>
      <c r="J287">
        <v>0</v>
      </c>
      <c r="K287">
        <v>3559.07</v>
      </c>
    </row>
    <row r="288" spans="1:11">
      <c r="A288">
        <v>10414</v>
      </c>
      <c r="B288" s="1">
        <v>45884</v>
      </c>
      <c r="C288" t="s">
        <v>23</v>
      </c>
      <c r="D288" t="s">
        <v>12</v>
      </c>
      <c r="E288" t="s">
        <v>18</v>
      </c>
      <c r="F288" t="s">
        <v>28</v>
      </c>
      <c r="G288" t="s">
        <v>15</v>
      </c>
      <c r="H288">
        <v>1</v>
      </c>
      <c r="I288">
        <v>3587.33</v>
      </c>
      <c r="J288">
        <v>10</v>
      </c>
      <c r="K288">
        <v>3587.33</v>
      </c>
    </row>
    <row r="289" spans="1:11">
      <c r="A289">
        <v>10334</v>
      </c>
      <c r="B289" s="1">
        <v>45688</v>
      </c>
      <c r="C289" t="s">
        <v>23</v>
      </c>
      <c r="D289" t="s">
        <v>12</v>
      </c>
      <c r="E289" t="s">
        <v>24</v>
      </c>
      <c r="F289" t="s">
        <v>28</v>
      </c>
      <c r="G289" t="s">
        <v>35</v>
      </c>
      <c r="H289">
        <v>1</v>
      </c>
      <c r="I289">
        <v>3591.49</v>
      </c>
      <c r="J289">
        <v>5</v>
      </c>
      <c r="K289">
        <v>3591.49</v>
      </c>
    </row>
    <row r="290" spans="1:11">
      <c r="A290">
        <v>10087</v>
      </c>
      <c r="B290" s="1">
        <v>45782</v>
      </c>
      <c r="C290" t="s">
        <v>23</v>
      </c>
      <c r="D290" t="s">
        <v>12</v>
      </c>
      <c r="E290" t="s">
        <v>24</v>
      </c>
      <c r="F290" t="s">
        <v>22</v>
      </c>
      <c r="G290" t="s">
        <v>19</v>
      </c>
      <c r="H290">
        <v>1</v>
      </c>
      <c r="I290">
        <v>3602.65</v>
      </c>
      <c r="J290">
        <v>10</v>
      </c>
      <c r="K290">
        <v>3602.65</v>
      </c>
    </row>
    <row r="291" spans="1:11">
      <c r="A291">
        <v>10229</v>
      </c>
      <c r="B291" s="1">
        <v>45747</v>
      </c>
      <c r="C291" t="s">
        <v>23</v>
      </c>
      <c r="D291" t="s">
        <v>12</v>
      </c>
      <c r="E291" t="s">
        <v>27</v>
      </c>
      <c r="F291" t="s">
        <v>22</v>
      </c>
      <c r="G291" t="s">
        <v>19</v>
      </c>
      <c r="H291">
        <v>1</v>
      </c>
      <c r="I291">
        <v>3607.99</v>
      </c>
      <c r="J291">
        <v>0</v>
      </c>
      <c r="K291">
        <v>3607.99</v>
      </c>
    </row>
    <row r="292" spans="1:11">
      <c r="A292">
        <v>10593</v>
      </c>
      <c r="B292" s="1">
        <v>45855</v>
      </c>
      <c r="C292" t="s">
        <v>36</v>
      </c>
      <c r="D292" t="s">
        <v>12</v>
      </c>
      <c r="E292" t="s">
        <v>13</v>
      </c>
      <c r="F292" t="s">
        <v>33</v>
      </c>
      <c r="G292" t="s">
        <v>35</v>
      </c>
      <c r="H292">
        <v>2</v>
      </c>
      <c r="I292">
        <v>1808.74</v>
      </c>
      <c r="J292">
        <v>10</v>
      </c>
      <c r="K292">
        <v>3617.48</v>
      </c>
    </row>
    <row r="293" spans="1:11">
      <c r="A293">
        <v>10547</v>
      </c>
      <c r="B293" s="1">
        <v>45818</v>
      </c>
      <c r="C293" t="s">
        <v>23</v>
      </c>
      <c r="D293" t="s">
        <v>12</v>
      </c>
      <c r="E293" t="s">
        <v>27</v>
      </c>
      <c r="F293" t="s">
        <v>22</v>
      </c>
      <c r="G293" t="s">
        <v>15</v>
      </c>
      <c r="H293">
        <v>1</v>
      </c>
      <c r="I293">
        <v>3621.9</v>
      </c>
      <c r="J293">
        <v>0</v>
      </c>
      <c r="K293">
        <v>3621.9</v>
      </c>
    </row>
    <row r="294" spans="1:11">
      <c r="A294">
        <v>10156</v>
      </c>
      <c r="B294" s="1">
        <v>46014</v>
      </c>
      <c r="C294" t="s">
        <v>23</v>
      </c>
      <c r="D294" t="s">
        <v>12</v>
      </c>
      <c r="E294" t="s">
        <v>27</v>
      </c>
      <c r="F294" t="s">
        <v>33</v>
      </c>
      <c r="G294" t="s">
        <v>35</v>
      </c>
      <c r="H294">
        <v>1</v>
      </c>
      <c r="I294">
        <v>3633.86</v>
      </c>
      <c r="J294">
        <v>15</v>
      </c>
      <c r="K294">
        <v>3633.86</v>
      </c>
    </row>
    <row r="295" spans="1:11">
      <c r="A295">
        <v>10144</v>
      </c>
      <c r="B295" s="1">
        <v>45860</v>
      </c>
      <c r="C295" t="s">
        <v>23</v>
      </c>
      <c r="D295" t="s">
        <v>12</v>
      </c>
      <c r="E295" t="s">
        <v>13</v>
      </c>
      <c r="F295" t="s">
        <v>28</v>
      </c>
      <c r="G295" t="s">
        <v>35</v>
      </c>
      <c r="H295">
        <v>1</v>
      </c>
      <c r="I295">
        <v>3642.67</v>
      </c>
      <c r="J295">
        <v>15</v>
      </c>
      <c r="K295">
        <v>3642.67</v>
      </c>
    </row>
    <row r="296" spans="1:11">
      <c r="A296">
        <v>10416</v>
      </c>
      <c r="B296" s="1">
        <v>45785</v>
      </c>
      <c r="C296" t="s">
        <v>36</v>
      </c>
      <c r="D296" t="s">
        <v>12</v>
      </c>
      <c r="E296" t="s">
        <v>13</v>
      </c>
      <c r="F296" t="s">
        <v>22</v>
      </c>
      <c r="G296" t="s">
        <v>15</v>
      </c>
      <c r="H296">
        <v>2</v>
      </c>
      <c r="I296">
        <v>1843.06</v>
      </c>
      <c r="J296">
        <v>10</v>
      </c>
      <c r="K296">
        <v>3686.12</v>
      </c>
    </row>
    <row r="297" spans="1:11">
      <c r="A297">
        <v>10314</v>
      </c>
      <c r="B297" s="1">
        <v>45674</v>
      </c>
      <c r="C297" t="s">
        <v>36</v>
      </c>
      <c r="D297" t="s">
        <v>12</v>
      </c>
      <c r="E297" t="s">
        <v>27</v>
      </c>
      <c r="F297" t="s">
        <v>33</v>
      </c>
      <c r="G297" t="s">
        <v>15</v>
      </c>
      <c r="H297">
        <v>2</v>
      </c>
      <c r="I297">
        <v>1843.18</v>
      </c>
      <c r="J297">
        <v>0</v>
      </c>
      <c r="K297">
        <v>3686.36</v>
      </c>
    </row>
    <row r="298" spans="1:11">
      <c r="A298">
        <v>10383</v>
      </c>
      <c r="B298" s="1">
        <v>46002</v>
      </c>
      <c r="C298" t="s">
        <v>36</v>
      </c>
      <c r="D298" t="s">
        <v>12</v>
      </c>
      <c r="E298" t="s">
        <v>18</v>
      </c>
      <c r="F298" t="s">
        <v>30</v>
      </c>
      <c r="G298" t="s">
        <v>15</v>
      </c>
      <c r="H298">
        <v>2</v>
      </c>
      <c r="I298">
        <v>1862.04</v>
      </c>
      <c r="J298">
        <v>0</v>
      </c>
      <c r="K298">
        <v>3724.08</v>
      </c>
    </row>
    <row r="299" spans="1:11">
      <c r="A299">
        <v>10096</v>
      </c>
      <c r="B299" s="1">
        <v>45808</v>
      </c>
      <c r="C299" t="s">
        <v>36</v>
      </c>
      <c r="D299" t="s">
        <v>12</v>
      </c>
      <c r="E299" t="s">
        <v>18</v>
      </c>
      <c r="F299" t="s">
        <v>31</v>
      </c>
      <c r="G299" t="s">
        <v>35</v>
      </c>
      <c r="H299">
        <v>2</v>
      </c>
      <c r="I299">
        <v>1862.2</v>
      </c>
      <c r="J299">
        <v>10</v>
      </c>
      <c r="K299">
        <v>3724.4</v>
      </c>
    </row>
    <row r="300" spans="1:11">
      <c r="A300">
        <v>10468</v>
      </c>
      <c r="B300" s="1">
        <v>45724</v>
      </c>
      <c r="C300" t="s">
        <v>32</v>
      </c>
      <c r="D300" t="s">
        <v>26</v>
      </c>
      <c r="E300" t="s">
        <v>13</v>
      </c>
      <c r="F300" t="s">
        <v>22</v>
      </c>
      <c r="G300" t="s">
        <v>15</v>
      </c>
      <c r="H300">
        <v>3</v>
      </c>
      <c r="I300">
        <v>1241.79</v>
      </c>
      <c r="J300">
        <v>0</v>
      </c>
      <c r="K300">
        <v>3725.37</v>
      </c>
    </row>
    <row r="301" spans="1:11">
      <c r="A301">
        <v>10158</v>
      </c>
      <c r="B301" s="1">
        <v>45843</v>
      </c>
      <c r="C301" t="s">
        <v>32</v>
      </c>
      <c r="D301" t="s">
        <v>26</v>
      </c>
      <c r="E301" t="s">
        <v>24</v>
      </c>
      <c r="F301" t="s">
        <v>22</v>
      </c>
      <c r="G301" t="s">
        <v>19</v>
      </c>
      <c r="H301">
        <v>3</v>
      </c>
      <c r="I301">
        <v>1241.92</v>
      </c>
      <c r="J301">
        <v>0</v>
      </c>
      <c r="K301">
        <v>3725.76</v>
      </c>
    </row>
    <row r="302" spans="1:11">
      <c r="A302">
        <v>10110</v>
      </c>
      <c r="B302" s="1">
        <v>46009</v>
      </c>
      <c r="C302" t="s">
        <v>36</v>
      </c>
      <c r="D302" t="s">
        <v>12</v>
      </c>
      <c r="E302" t="s">
        <v>18</v>
      </c>
      <c r="F302" t="s">
        <v>30</v>
      </c>
      <c r="G302" t="s">
        <v>35</v>
      </c>
      <c r="H302">
        <v>2</v>
      </c>
      <c r="I302">
        <v>1884.78</v>
      </c>
      <c r="J302">
        <v>10</v>
      </c>
      <c r="K302">
        <v>3769.56</v>
      </c>
    </row>
    <row r="303" spans="1:11">
      <c r="A303">
        <v>10262</v>
      </c>
      <c r="B303" s="1">
        <v>45739</v>
      </c>
      <c r="C303" t="s">
        <v>32</v>
      </c>
      <c r="D303" t="s">
        <v>26</v>
      </c>
      <c r="E303" t="s">
        <v>13</v>
      </c>
      <c r="F303" t="s">
        <v>33</v>
      </c>
      <c r="G303" t="s">
        <v>35</v>
      </c>
      <c r="H303">
        <v>3</v>
      </c>
      <c r="I303">
        <v>1258.71</v>
      </c>
      <c r="J303">
        <v>0</v>
      </c>
      <c r="K303">
        <v>3776.13</v>
      </c>
    </row>
    <row r="304" spans="1:11">
      <c r="A304">
        <v>10623</v>
      </c>
      <c r="B304" s="1">
        <v>45907</v>
      </c>
      <c r="C304" t="s">
        <v>32</v>
      </c>
      <c r="D304" t="s">
        <v>26</v>
      </c>
      <c r="E304" t="s">
        <v>18</v>
      </c>
      <c r="F304" t="s">
        <v>28</v>
      </c>
      <c r="G304" t="s">
        <v>19</v>
      </c>
      <c r="H304">
        <v>3</v>
      </c>
      <c r="I304">
        <v>1264.45</v>
      </c>
      <c r="J304">
        <v>15</v>
      </c>
      <c r="K304">
        <v>3793.35</v>
      </c>
    </row>
    <row r="305" spans="1:11">
      <c r="A305">
        <v>10317</v>
      </c>
      <c r="B305" s="1">
        <v>45952</v>
      </c>
      <c r="C305" t="s">
        <v>32</v>
      </c>
      <c r="D305" t="s">
        <v>26</v>
      </c>
      <c r="E305" t="s">
        <v>13</v>
      </c>
      <c r="F305" t="s">
        <v>33</v>
      </c>
      <c r="G305" t="s">
        <v>35</v>
      </c>
      <c r="H305">
        <v>3</v>
      </c>
      <c r="I305">
        <v>1264.82</v>
      </c>
      <c r="J305">
        <v>0</v>
      </c>
      <c r="K305">
        <v>3794.46</v>
      </c>
    </row>
    <row r="306" spans="1:11">
      <c r="A306">
        <v>10224</v>
      </c>
      <c r="B306" s="1">
        <v>45731</v>
      </c>
      <c r="C306" t="s">
        <v>32</v>
      </c>
      <c r="D306" t="s">
        <v>26</v>
      </c>
      <c r="E306" t="s">
        <v>13</v>
      </c>
      <c r="F306" t="s">
        <v>31</v>
      </c>
      <c r="G306" t="s">
        <v>15</v>
      </c>
      <c r="H306">
        <v>3</v>
      </c>
      <c r="I306">
        <v>1265.3</v>
      </c>
      <c r="J306">
        <v>5</v>
      </c>
      <c r="K306">
        <v>3795.9</v>
      </c>
    </row>
    <row r="307" spans="1:11">
      <c r="A307">
        <v>10232</v>
      </c>
      <c r="B307" s="1">
        <v>45804</v>
      </c>
      <c r="C307" t="s">
        <v>32</v>
      </c>
      <c r="D307" t="s">
        <v>26</v>
      </c>
      <c r="E307" t="s">
        <v>13</v>
      </c>
      <c r="F307" t="s">
        <v>28</v>
      </c>
      <c r="G307" t="s">
        <v>35</v>
      </c>
      <c r="H307">
        <v>3</v>
      </c>
      <c r="I307">
        <v>1269.54</v>
      </c>
      <c r="J307">
        <v>20</v>
      </c>
      <c r="K307">
        <v>3808.62</v>
      </c>
    </row>
    <row r="308" spans="1:11">
      <c r="A308">
        <v>10179</v>
      </c>
      <c r="B308" s="1">
        <v>45750</v>
      </c>
      <c r="C308" t="s">
        <v>34</v>
      </c>
      <c r="D308" t="s">
        <v>12</v>
      </c>
      <c r="E308" t="s">
        <v>18</v>
      </c>
      <c r="F308" t="s">
        <v>33</v>
      </c>
      <c r="G308" t="s">
        <v>35</v>
      </c>
      <c r="H308">
        <v>5</v>
      </c>
      <c r="I308">
        <v>764.61</v>
      </c>
      <c r="J308">
        <v>15</v>
      </c>
      <c r="K308">
        <v>3823.05</v>
      </c>
    </row>
    <row r="309" spans="1:11">
      <c r="A309">
        <v>10444</v>
      </c>
      <c r="B309" s="1">
        <v>45807</v>
      </c>
      <c r="C309" t="s">
        <v>32</v>
      </c>
      <c r="D309" t="s">
        <v>26</v>
      </c>
      <c r="E309" t="s">
        <v>13</v>
      </c>
      <c r="F309" t="s">
        <v>30</v>
      </c>
      <c r="G309" t="s">
        <v>19</v>
      </c>
      <c r="H309">
        <v>3</v>
      </c>
      <c r="I309">
        <v>1275.3699999999999</v>
      </c>
      <c r="J309">
        <v>0</v>
      </c>
      <c r="K309">
        <v>3826.11</v>
      </c>
    </row>
    <row r="310" spans="1:11">
      <c r="A310">
        <v>10221</v>
      </c>
      <c r="B310" s="1">
        <v>45789</v>
      </c>
      <c r="C310" t="s">
        <v>34</v>
      </c>
      <c r="D310" t="s">
        <v>12</v>
      </c>
      <c r="E310" t="s">
        <v>18</v>
      </c>
      <c r="F310" t="s">
        <v>14</v>
      </c>
      <c r="G310" t="s">
        <v>35</v>
      </c>
      <c r="H310">
        <v>5</v>
      </c>
      <c r="I310">
        <v>767.93</v>
      </c>
      <c r="J310">
        <v>0</v>
      </c>
      <c r="K310">
        <v>3839.65</v>
      </c>
    </row>
    <row r="311" spans="1:11">
      <c r="A311">
        <v>10538</v>
      </c>
      <c r="B311" s="1">
        <v>46011</v>
      </c>
      <c r="C311" t="s">
        <v>34</v>
      </c>
      <c r="D311" t="s">
        <v>12</v>
      </c>
      <c r="E311" t="s">
        <v>24</v>
      </c>
      <c r="F311" t="s">
        <v>31</v>
      </c>
      <c r="G311" t="s">
        <v>19</v>
      </c>
      <c r="H311">
        <v>5</v>
      </c>
      <c r="I311">
        <v>768.93</v>
      </c>
      <c r="J311">
        <v>0</v>
      </c>
      <c r="K311">
        <v>3844.65</v>
      </c>
    </row>
    <row r="312" spans="1:11">
      <c r="A312">
        <v>10105</v>
      </c>
      <c r="B312" s="1">
        <v>45943</v>
      </c>
      <c r="C312" t="s">
        <v>36</v>
      </c>
      <c r="D312" t="s">
        <v>12</v>
      </c>
      <c r="E312" t="s">
        <v>27</v>
      </c>
      <c r="F312" t="s">
        <v>33</v>
      </c>
      <c r="G312" t="s">
        <v>35</v>
      </c>
      <c r="H312">
        <v>2</v>
      </c>
      <c r="I312">
        <v>1951.35</v>
      </c>
      <c r="J312">
        <v>5</v>
      </c>
      <c r="K312">
        <v>3902.7</v>
      </c>
    </row>
    <row r="313" spans="1:11">
      <c r="A313">
        <v>10402</v>
      </c>
      <c r="B313" s="1">
        <v>45911</v>
      </c>
      <c r="C313" t="s">
        <v>32</v>
      </c>
      <c r="D313" t="s">
        <v>26</v>
      </c>
      <c r="E313" t="s">
        <v>13</v>
      </c>
      <c r="F313" t="s">
        <v>30</v>
      </c>
      <c r="G313" t="s">
        <v>19</v>
      </c>
      <c r="H313">
        <v>3</v>
      </c>
      <c r="I313">
        <v>1305.1500000000001</v>
      </c>
      <c r="J313">
        <v>0</v>
      </c>
      <c r="K313">
        <v>3915.45</v>
      </c>
    </row>
    <row r="314" spans="1:11">
      <c r="A314">
        <v>10311</v>
      </c>
      <c r="B314" s="1">
        <v>45749</v>
      </c>
      <c r="C314" t="s">
        <v>36</v>
      </c>
      <c r="D314" t="s">
        <v>12</v>
      </c>
      <c r="E314" t="s">
        <v>27</v>
      </c>
      <c r="F314" t="s">
        <v>33</v>
      </c>
      <c r="G314" t="s">
        <v>15</v>
      </c>
      <c r="H314">
        <v>2</v>
      </c>
      <c r="I314">
        <v>1962.58</v>
      </c>
      <c r="J314">
        <v>20</v>
      </c>
      <c r="K314">
        <v>3925.16</v>
      </c>
    </row>
    <row r="315" spans="1:11">
      <c r="A315">
        <v>10174</v>
      </c>
      <c r="B315" s="1">
        <v>45958</v>
      </c>
      <c r="C315" t="s">
        <v>34</v>
      </c>
      <c r="D315" t="s">
        <v>12</v>
      </c>
      <c r="E315" t="s">
        <v>13</v>
      </c>
      <c r="F315" t="s">
        <v>22</v>
      </c>
      <c r="G315" t="s">
        <v>15</v>
      </c>
      <c r="H315">
        <v>5</v>
      </c>
      <c r="I315">
        <v>787.3</v>
      </c>
      <c r="J315">
        <v>15</v>
      </c>
      <c r="K315">
        <v>3936.5</v>
      </c>
    </row>
    <row r="316" spans="1:11">
      <c r="A316">
        <v>10309</v>
      </c>
      <c r="B316" s="1">
        <v>45804</v>
      </c>
      <c r="C316" t="s">
        <v>34</v>
      </c>
      <c r="D316" t="s">
        <v>12</v>
      </c>
      <c r="E316" t="s">
        <v>27</v>
      </c>
      <c r="F316" t="s">
        <v>14</v>
      </c>
      <c r="G316" t="s">
        <v>15</v>
      </c>
      <c r="H316">
        <v>5</v>
      </c>
      <c r="I316">
        <v>788.97</v>
      </c>
      <c r="J316">
        <v>5</v>
      </c>
      <c r="K316">
        <v>3944.85</v>
      </c>
    </row>
    <row r="317" spans="1:11">
      <c r="A317">
        <v>10475</v>
      </c>
      <c r="B317" s="1">
        <v>45985</v>
      </c>
      <c r="C317" t="s">
        <v>32</v>
      </c>
      <c r="D317" t="s">
        <v>26</v>
      </c>
      <c r="E317" t="s">
        <v>24</v>
      </c>
      <c r="F317" t="s">
        <v>31</v>
      </c>
      <c r="G317" t="s">
        <v>15</v>
      </c>
      <c r="H317">
        <v>3</v>
      </c>
      <c r="I317">
        <v>1330.87</v>
      </c>
      <c r="J317">
        <v>0</v>
      </c>
      <c r="K317">
        <v>3992.61</v>
      </c>
    </row>
    <row r="318" spans="1:11">
      <c r="A318">
        <v>10461</v>
      </c>
      <c r="B318" s="1">
        <v>45673</v>
      </c>
      <c r="C318" t="s">
        <v>32</v>
      </c>
      <c r="D318" t="s">
        <v>26</v>
      </c>
      <c r="E318" t="s">
        <v>13</v>
      </c>
      <c r="F318" t="s">
        <v>28</v>
      </c>
      <c r="G318" t="s">
        <v>19</v>
      </c>
      <c r="H318">
        <v>3</v>
      </c>
      <c r="I318">
        <v>1333.66</v>
      </c>
      <c r="J318">
        <v>0</v>
      </c>
      <c r="K318">
        <v>4000.98</v>
      </c>
    </row>
    <row r="319" spans="1:11">
      <c r="A319">
        <v>10312</v>
      </c>
      <c r="B319" s="1">
        <v>45810</v>
      </c>
      <c r="C319" t="s">
        <v>34</v>
      </c>
      <c r="D319" t="s">
        <v>12</v>
      </c>
      <c r="E319" t="s">
        <v>27</v>
      </c>
      <c r="F319" t="s">
        <v>22</v>
      </c>
      <c r="G319" t="s">
        <v>35</v>
      </c>
      <c r="H319">
        <v>5</v>
      </c>
      <c r="I319">
        <v>801.55</v>
      </c>
      <c r="J319">
        <v>20</v>
      </c>
      <c r="K319">
        <v>4007.75</v>
      </c>
    </row>
    <row r="320" spans="1:11">
      <c r="A320">
        <v>10187</v>
      </c>
      <c r="B320" s="1">
        <v>45912</v>
      </c>
      <c r="C320" t="s">
        <v>34</v>
      </c>
      <c r="D320" t="s">
        <v>12</v>
      </c>
      <c r="E320" t="s">
        <v>27</v>
      </c>
      <c r="F320" t="s">
        <v>14</v>
      </c>
      <c r="G320" t="s">
        <v>15</v>
      </c>
      <c r="H320">
        <v>5</v>
      </c>
      <c r="I320">
        <v>801.6</v>
      </c>
      <c r="J320">
        <v>0</v>
      </c>
      <c r="K320">
        <v>4008</v>
      </c>
    </row>
    <row r="321" spans="1:11">
      <c r="A321">
        <v>10176</v>
      </c>
      <c r="B321" s="1">
        <v>45737</v>
      </c>
      <c r="C321" t="s">
        <v>32</v>
      </c>
      <c r="D321" t="s">
        <v>26</v>
      </c>
      <c r="E321" t="s">
        <v>27</v>
      </c>
      <c r="F321" t="s">
        <v>14</v>
      </c>
      <c r="G321" t="s">
        <v>15</v>
      </c>
      <c r="H321">
        <v>3</v>
      </c>
      <c r="I321">
        <v>1343.86</v>
      </c>
      <c r="J321">
        <v>0</v>
      </c>
      <c r="K321">
        <v>4031.58</v>
      </c>
    </row>
    <row r="322" spans="1:11">
      <c r="A322">
        <v>10633</v>
      </c>
      <c r="B322" s="1">
        <v>45743</v>
      </c>
      <c r="C322" t="s">
        <v>34</v>
      </c>
      <c r="D322" t="s">
        <v>12</v>
      </c>
      <c r="E322" t="s">
        <v>13</v>
      </c>
      <c r="F322" t="s">
        <v>14</v>
      </c>
      <c r="G322" t="s">
        <v>35</v>
      </c>
      <c r="H322">
        <v>5</v>
      </c>
      <c r="I322">
        <v>806.94</v>
      </c>
      <c r="J322">
        <v>10</v>
      </c>
      <c r="K322">
        <v>4034.7</v>
      </c>
    </row>
    <row r="323" spans="1:11">
      <c r="A323">
        <v>10644</v>
      </c>
      <c r="B323" s="1">
        <v>45953</v>
      </c>
      <c r="C323" t="s">
        <v>34</v>
      </c>
      <c r="D323" t="s">
        <v>12</v>
      </c>
      <c r="E323" t="s">
        <v>24</v>
      </c>
      <c r="F323" t="s">
        <v>33</v>
      </c>
      <c r="G323" t="s">
        <v>15</v>
      </c>
      <c r="H323">
        <v>5</v>
      </c>
      <c r="I323">
        <v>811.35</v>
      </c>
      <c r="J323">
        <v>15</v>
      </c>
      <c r="K323">
        <v>4056.75</v>
      </c>
    </row>
    <row r="324" spans="1:11">
      <c r="A324">
        <v>10495</v>
      </c>
      <c r="B324" s="1">
        <v>45979</v>
      </c>
      <c r="C324" t="s">
        <v>32</v>
      </c>
      <c r="D324" t="s">
        <v>26</v>
      </c>
      <c r="E324" t="s">
        <v>18</v>
      </c>
      <c r="F324" t="s">
        <v>33</v>
      </c>
      <c r="G324" t="s">
        <v>19</v>
      </c>
      <c r="H324">
        <v>3</v>
      </c>
      <c r="I324">
        <v>1352.36</v>
      </c>
      <c r="J324">
        <v>20</v>
      </c>
      <c r="K324">
        <v>4057.08</v>
      </c>
    </row>
    <row r="325" spans="1:11">
      <c r="A325">
        <v>10432</v>
      </c>
      <c r="B325" s="1">
        <v>45783</v>
      </c>
      <c r="C325" t="s">
        <v>34</v>
      </c>
      <c r="D325" t="s">
        <v>12</v>
      </c>
      <c r="E325" t="s">
        <v>24</v>
      </c>
      <c r="F325" t="s">
        <v>31</v>
      </c>
      <c r="G325" t="s">
        <v>19</v>
      </c>
      <c r="H325">
        <v>5</v>
      </c>
      <c r="I325">
        <v>832.58</v>
      </c>
      <c r="J325">
        <v>0</v>
      </c>
      <c r="K325">
        <v>4162.8999999999996</v>
      </c>
    </row>
    <row r="326" spans="1:11">
      <c r="A326">
        <v>10086</v>
      </c>
      <c r="B326" s="1">
        <v>46004</v>
      </c>
      <c r="C326" t="s">
        <v>38</v>
      </c>
      <c r="D326" t="s">
        <v>12</v>
      </c>
      <c r="E326" t="s">
        <v>27</v>
      </c>
      <c r="F326" t="s">
        <v>31</v>
      </c>
      <c r="G326" t="s">
        <v>35</v>
      </c>
      <c r="H326">
        <v>2</v>
      </c>
      <c r="I326">
        <v>2201.52</v>
      </c>
      <c r="J326">
        <v>15</v>
      </c>
      <c r="K326">
        <v>4403.04</v>
      </c>
    </row>
    <row r="327" spans="1:11">
      <c r="A327">
        <v>10257</v>
      </c>
      <c r="B327" s="1">
        <v>45806</v>
      </c>
      <c r="C327" t="s">
        <v>29</v>
      </c>
      <c r="D327" t="s">
        <v>26</v>
      </c>
      <c r="E327" t="s">
        <v>13</v>
      </c>
      <c r="F327" t="s">
        <v>31</v>
      </c>
      <c r="G327" t="s">
        <v>15</v>
      </c>
      <c r="H327">
        <v>5</v>
      </c>
      <c r="I327">
        <v>880.79</v>
      </c>
      <c r="J327">
        <v>0</v>
      </c>
      <c r="K327">
        <v>4403.95</v>
      </c>
    </row>
    <row r="328" spans="1:11">
      <c r="A328">
        <v>10268</v>
      </c>
      <c r="B328" s="1">
        <v>45801</v>
      </c>
      <c r="C328" t="s">
        <v>29</v>
      </c>
      <c r="D328" t="s">
        <v>26</v>
      </c>
      <c r="E328" t="s">
        <v>24</v>
      </c>
      <c r="F328" t="s">
        <v>14</v>
      </c>
      <c r="G328" t="s">
        <v>15</v>
      </c>
      <c r="H328">
        <v>5</v>
      </c>
      <c r="I328">
        <v>887.6</v>
      </c>
      <c r="J328">
        <v>0</v>
      </c>
      <c r="K328">
        <v>4438</v>
      </c>
    </row>
    <row r="329" spans="1:11">
      <c r="A329">
        <v>10511</v>
      </c>
      <c r="B329" s="1">
        <v>45767</v>
      </c>
      <c r="C329" t="s">
        <v>38</v>
      </c>
      <c r="D329" t="s">
        <v>12</v>
      </c>
      <c r="E329" t="s">
        <v>18</v>
      </c>
      <c r="F329" t="s">
        <v>22</v>
      </c>
      <c r="G329" t="s">
        <v>15</v>
      </c>
      <c r="H329">
        <v>2</v>
      </c>
      <c r="I329">
        <v>2245.91</v>
      </c>
      <c r="J329">
        <v>5</v>
      </c>
      <c r="K329">
        <v>4491.82</v>
      </c>
    </row>
    <row r="330" spans="1:11">
      <c r="A330">
        <v>10269</v>
      </c>
      <c r="B330" s="1">
        <v>45845</v>
      </c>
      <c r="C330" t="s">
        <v>29</v>
      </c>
      <c r="D330" t="s">
        <v>26</v>
      </c>
      <c r="E330" t="s">
        <v>18</v>
      </c>
      <c r="F330" t="s">
        <v>14</v>
      </c>
      <c r="G330" t="s">
        <v>35</v>
      </c>
      <c r="H330">
        <v>5</v>
      </c>
      <c r="I330">
        <v>899.01</v>
      </c>
      <c r="J330">
        <v>0</v>
      </c>
      <c r="K330">
        <v>4495.05</v>
      </c>
    </row>
    <row r="331" spans="1:11">
      <c r="A331">
        <v>10617</v>
      </c>
      <c r="B331" s="1">
        <v>45981</v>
      </c>
      <c r="C331" t="s">
        <v>29</v>
      </c>
      <c r="D331" t="s">
        <v>26</v>
      </c>
      <c r="E331" t="s">
        <v>24</v>
      </c>
      <c r="F331" t="s">
        <v>33</v>
      </c>
      <c r="G331" t="s">
        <v>35</v>
      </c>
      <c r="H331">
        <v>5</v>
      </c>
      <c r="I331">
        <v>923.2</v>
      </c>
      <c r="J331">
        <v>0</v>
      </c>
      <c r="K331">
        <v>4616</v>
      </c>
    </row>
    <row r="332" spans="1:11">
      <c r="A332">
        <v>10038</v>
      </c>
      <c r="B332" s="1">
        <v>45692</v>
      </c>
      <c r="C332" t="s">
        <v>38</v>
      </c>
      <c r="D332" t="s">
        <v>12</v>
      </c>
      <c r="E332" t="s">
        <v>18</v>
      </c>
      <c r="F332" t="s">
        <v>31</v>
      </c>
      <c r="G332" t="s">
        <v>15</v>
      </c>
      <c r="H332">
        <v>2</v>
      </c>
      <c r="I332">
        <v>2317.14</v>
      </c>
      <c r="J332">
        <v>0</v>
      </c>
      <c r="K332">
        <v>4634.28</v>
      </c>
    </row>
    <row r="333" spans="1:11">
      <c r="A333">
        <v>10419</v>
      </c>
      <c r="B333" s="1">
        <v>45664</v>
      </c>
      <c r="C333" t="s">
        <v>29</v>
      </c>
      <c r="D333" t="s">
        <v>26</v>
      </c>
      <c r="E333" t="s">
        <v>13</v>
      </c>
      <c r="F333" t="s">
        <v>30</v>
      </c>
      <c r="G333" t="s">
        <v>15</v>
      </c>
      <c r="H333">
        <v>5</v>
      </c>
      <c r="I333">
        <v>931.44</v>
      </c>
      <c r="J333">
        <v>10</v>
      </c>
      <c r="K333">
        <v>4657.2</v>
      </c>
    </row>
    <row r="334" spans="1:11">
      <c r="A334">
        <v>10107</v>
      </c>
      <c r="B334" s="1">
        <v>45708</v>
      </c>
      <c r="C334" t="s">
        <v>38</v>
      </c>
      <c r="D334" t="s">
        <v>12</v>
      </c>
      <c r="E334" t="s">
        <v>18</v>
      </c>
      <c r="F334" t="s">
        <v>22</v>
      </c>
      <c r="G334" t="s">
        <v>15</v>
      </c>
      <c r="H334">
        <v>2</v>
      </c>
      <c r="I334">
        <v>2335.88</v>
      </c>
      <c r="J334">
        <v>0</v>
      </c>
      <c r="K334">
        <v>4671.76</v>
      </c>
    </row>
    <row r="335" spans="1:11">
      <c r="A335">
        <v>10061</v>
      </c>
      <c r="B335" s="1">
        <v>45818</v>
      </c>
      <c r="C335" t="s">
        <v>38</v>
      </c>
      <c r="D335" t="s">
        <v>12</v>
      </c>
      <c r="E335" t="s">
        <v>24</v>
      </c>
      <c r="F335" t="s">
        <v>22</v>
      </c>
      <c r="G335" t="s">
        <v>19</v>
      </c>
      <c r="H335">
        <v>2</v>
      </c>
      <c r="I335">
        <v>2337.37</v>
      </c>
      <c r="J335">
        <v>0</v>
      </c>
      <c r="K335">
        <v>4674.74</v>
      </c>
    </row>
    <row r="336" spans="1:11">
      <c r="A336">
        <v>10023</v>
      </c>
      <c r="B336" s="1">
        <v>45742</v>
      </c>
      <c r="C336" t="s">
        <v>29</v>
      </c>
      <c r="D336" t="s">
        <v>26</v>
      </c>
      <c r="E336" t="s">
        <v>13</v>
      </c>
      <c r="F336" t="s">
        <v>33</v>
      </c>
      <c r="G336" t="s">
        <v>35</v>
      </c>
      <c r="H336">
        <v>5</v>
      </c>
      <c r="I336">
        <v>940.75</v>
      </c>
      <c r="J336">
        <v>10</v>
      </c>
      <c r="K336">
        <v>4703.75</v>
      </c>
    </row>
    <row r="337" spans="1:11">
      <c r="A337">
        <v>10390</v>
      </c>
      <c r="B337" s="1">
        <v>45911</v>
      </c>
      <c r="C337" t="s">
        <v>38</v>
      </c>
      <c r="D337" t="s">
        <v>12</v>
      </c>
      <c r="E337" t="s">
        <v>24</v>
      </c>
      <c r="F337" t="s">
        <v>33</v>
      </c>
      <c r="G337" t="s">
        <v>15</v>
      </c>
      <c r="H337">
        <v>2</v>
      </c>
      <c r="I337">
        <v>2362.25</v>
      </c>
      <c r="J337">
        <v>20</v>
      </c>
      <c r="K337">
        <v>4724.5</v>
      </c>
    </row>
    <row r="338" spans="1:11">
      <c r="A338">
        <v>10498</v>
      </c>
      <c r="B338" s="1">
        <v>45709</v>
      </c>
      <c r="C338" t="s">
        <v>38</v>
      </c>
      <c r="D338" t="s">
        <v>12</v>
      </c>
      <c r="E338" t="s">
        <v>24</v>
      </c>
      <c r="F338" t="s">
        <v>33</v>
      </c>
      <c r="G338" t="s">
        <v>15</v>
      </c>
      <c r="H338">
        <v>2</v>
      </c>
      <c r="I338">
        <v>2383.48</v>
      </c>
      <c r="J338">
        <v>0</v>
      </c>
      <c r="K338">
        <v>4766.96</v>
      </c>
    </row>
    <row r="339" spans="1:11">
      <c r="A339">
        <v>10104</v>
      </c>
      <c r="B339" s="1">
        <v>45695</v>
      </c>
      <c r="C339" t="s">
        <v>25</v>
      </c>
      <c r="D339" t="s">
        <v>26</v>
      </c>
      <c r="E339" t="s">
        <v>24</v>
      </c>
      <c r="F339" t="s">
        <v>14</v>
      </c>
      <c r="G339" t="s">
        <v>15</v>
      </c>
      <c r="H339">
        <v>2</v>
      </c>
      <c r="I339">
        <v>2395.34</v>
      </c>
      <c r="J339">
        <v>0</v>
      </c>
      <c r="K339">
        <v>4790.68</v>
      </c>
    </row>
    <row r="340" spans="1:11">
      <c r="A340">
        <v>10135</v>
      </c>
      <c r="B340" s="1">
        <v>45693</v>
      </c>
      <c r="C340" t="s">
        <v>38</v>
      </c>
      <c r="D340" t="s">
        <v>12</v>
      </c>
      <c r="E340" t="s">
        <v>18</v>
      </c>
      <c r="F340" t="s">
        <v>22</v>
      </c>
      <c r="G340" t="s">
        <v>35</v>
      </c>
      <c r="H340">
        <v>2</v>
      </c>
      <c r="I340">
        <v>2413.36</v>
      </c>
      <c r="J340">
        <v>15</v>
      </c>
      <c r="K340">
        <v>4826.72</v>
      </c>
    </row>
    <row r="341" spans="1:11">
      <c r="A341">
        <v>10091</v>
      </c>
      <c r="B341" s="1">
        <v>45896</v>
      </c>
      <c r="C341" t="s">
        <v>25</v>
      </c>
      <c r="D341" t="s">
        <v>26</v>
      </c>
      <c r="E341" t="s">
        <v>27</v>
      </c>
      <c r="F341" t="s">
        <v>22</v>
      </c>
      <c r="G341" t="s">
        <v>35</v>
      </c>
      <c r="H341">
        <v>2</v>
      </c>
      <c r="I341">
        <v>2454.59</v>
      </c>
      <c r="J341">
        <v>0</v>
      </c>
      <c r="K341">
        <v>4909.18</v>
      </c>
    </row>
    <row r="342" spans="1:11">
      <c r="A342">
        <v>10202</v>
      </c>
      <c r="B342" s="1">
        <v>45882</v>
      </c>
      <c r="C342" t="s">
        <v>25</v>
      </c>
      <c r="D342" t="s">
        <v>26</v>
      </c>
      <c r="E342" t="s">
        <v>18</v>
      </c>
      <c r="F342" t="s">
        <v>30</v>
      </c>
      <c r="G342" t="s">
        <v>19</v>
      </c>
      <c r="H342">
        <v>2</v>
      </c>
      <c r="I342">
        <v>2470.87</v>
      </c>
      <c r="J342">
        <v>20</v>
      </c>
      <c r="K342">
        <v>4941.74</v>
      </c>
    </row>
    <row r="343" spans="1:11">
      <c r="A343">
        <v>10212</v>
      </c>
      <c r="B343" s="1">
        <v>45970</v>
      </c>
      <c r="C343" t="s">
        <v>25</v>
      </c>
      <c r="D343" t="s">
        <v>26</v>
      </c>
      <c r="E343" t="s">
        <v>13</v>
      </c>
      <c r="F343" t="s">
        <v>22</v>
      </c>
      <c r="G343" t="s">
        <v>19</v>
      </c>
      <c r="H343">
        <v>2</v>
      </c>
      <c r="I343">
        <v>2507.5</v>
      </c>
      <c r="J343">
        <v>0</v>
      </c>
      <c r="K343">
        <v>5015</v>
      </c>
    </row>
    <row r="344" spans="1:11">
      <c r="A344">
        <v>10291</v>
      </c>
      <c r="B344" s="1">
        <v>45753</v>
      </c>
      <c r="C344" t="s">
        <v>25</v>
      </c>
      <c r="D344" t="s">
        <v>26</v>
      </c>
      <c r="E344" t="s">
        <v>13</v>
      </c>
      <c r="F344" t="s">
        <v>28</v>
      </c>
      <c r="G344" t="s">
        <v>15</v>
      </c>
      <c r="H344">
        <v>2</v>
      </c>
      <c r="I344">
        <v>2515.98</v>
      </c>
      <c r="J344">
        <v>0</v>
      </c>
      <c r="K344">
        <v>5031.96</v>
      </c>
    </row>
    <row r="345" spans="1:11">
      <c r="A345">
        <v>10106</v>
      </c>
      <c r="B345" s="1">
        <v>45884</v>
      </c>
      <c r="C345" t="s">
        <v>25</v>
      </c>
      <c r="D345" t="s">
        <v>26</v>
      </c>
      <c r="E345" t="s">
        <v>13</v>
      </c>
      <c r="F345" t="s">
        <v>33</v>
      </c>
      <c r="G345" t="s">
        <v>19</v>
      </c>
      <c r="H345">
        <v>2</v>
      </c>
      <c r="I345">
        <v>2516.15</v>
      </c>
      <c r="J345">
        <v>0</v>
      </c>
      <c r="K345">
        <v>5032.3</v>
      </c>
    </row>
    <row r="346" spans="1:11">
      <c r="A346">
        <v>10280</v>
      </c>
      <c r="B346" s="1">
        <v>45930</v>
      </c>
      <c r="C346" t="s">
        <v>25</v>
      </c>
      <c r="D346" t="s">
        <v>26</v>
      </c>
      <c r="E346" t="s">
        <v>13</v>
      </c>
      <c r="F346" t="s">
        <v>33</v>
      </c>
      <c r="G346" t="s">
        <v>19</v>
      </c>
      <c r="H346">
        <v>2</v>
      </c>
      <c r="I346">
        <v>2526.5100000000002</v>
      </c>
      <c r="J346">
        <v>0</v>
      </c>
      <c r="K346">
        <v>5053.0200000000004</v>
      </c>
    </row>
    <row r="347" spans="1:11">
      <c r="A347">
        <v>10090</v>
      </c>
      <c r="B347" s="1">
        <v>46020</v>
      </c>
      <c r="C347" t="s">
        <v>25</v>
      </c>
      <c r="D347" t="s">
        <v>26</v>
      </c>
      <c r="E347" t="s">
        <v>18</v>
      </c>
      <c r="F347" t="s">
        <v>31</v>
      </c>
      <c r="G347" t="s">
        <v>15</v>
      </c>
      <c r="H347">
        <v>2</v>
      </c>
      <c r="I347">
        <v>2527.9699999999998</v>
      </c>
      <c r="J347">
        <v>10</v>
      </c>
      <c r="K347">
        <v>5055.9399999999996</v>
      </c>
    </row>
    <row r="348" spans="1:11">
      <c r="A348">
        <v>10145</v>
      </c>
      <c r="B348" s="1">
        <v>45804</v>
      </c>
      <c r="C348" t="s">
        <v>25</v>
      </c>
      <c r="D348" t="s">
        <v>26</v>
      </c>
      <c r="E348" t="s">
        <v>18</v>
      </c>
      <c r="F348" t="s">
        <v>33</v>
      </c>
      <c r="G348" t="s">
        <v>19</v>
      </c>
      <c r="H348">
        <v>2</v>
      </c>
      <c r="I348">
        <v>2533.14</v>
      </c>
      <c r="J348">
        <v>10</v>
      </c>
      <c r="K348">
        <v>5066.28</v>
      </c>
    </row>
    <row r="349" spans="1:11">
      <c r="A349">
        <v>10340</v>
      </c>
      <c r="B349" s="1">
        <v>45947</v>
      </c>
      <c r="C349" t="s">
        <v>25</v>
      </c>
      <c r="D349" t="s">
        <v>26</v>
      </c>
      <c r="E349" t="s">
        <v>18</v>
      </c>
      <c r="F349" t="s">
        <v>22</v>
      </c>
      <c r="G349" t="s">
        <v>15</v>
      </c>
      <c r="H349">
        <v>2</v>
      </c>
      <c r="I349">
        <v>2544.9899999999998</v>
      </c>
      <c r="J349">
        <v>20</v>
      </c>
      <c r="K349">
        <v>5089.9799999999996</v>
      </c>
    </row>
    <row r="350" spans="1:11">
      <c r="A350">
        <v>10399</v>
      </c>
      <c r="B350" s="1">
        <v>45696</v>
      </c>
      <c r="C350" t="s">
        <v>25</v>
      </c>
      <c r="D350" t="s">
        <v>26</v>
      </c>
      <c r="E350" t="s">
        <v>24</v>
      </c>
      <c r="F350" t="s">
        <v>31</v>
      </c>
      <c r="G350" t="s">
        <v>35</v>
      </c>
      <c r="H350">
        <v>2</v>
      </c>
      <c r="I350">
        <v>2547.66</v>
      </c>
      <c r="J350">
        <v>0</v>
      </c>
      <c r="K350">
        <v>5095.32</v>
      </c>
    </row>
    <row r="351" spans="1:11">
      <c r="A351">
        <v>10109</v>
      </c>
      <c r="B351" s="1">
        <v>45807</v>
      </c>
      <c r="C351" t="s">
        <v>25</v>
      </c>
      <c r="D351" t="s">
        <v>26</v>
      </c>
      <c r="E351" t="s">
        <v>24</v>
      </c>
      <c r="F351" t="s">
        <v>14</v>
      </c>
      <c r="G351" t="s">
        <v>19</v>
      </c>
      <c r="H351">
        <v>2</v>
      </c>
      <c r="I351">
        <v>2549.73</v>
      </c>
      <c r="J351">
        <v>5</v>
      </c>
      <c r="K351">
        <v>5099.46</v>
      </c>
    </row>
    <row r="352" spans="1:11">
      <c r="A352">
        <v>10067</v>
      </c>
      <c r="B352" s="1">
        <v>45970</v>
      </c>
      <c r="C352" t="s">
        <v>25</v>
      </c>
      <c r="D352" t="s">
        <v>26</v>
      </c>
      <c r="E352" t="s">
        <v>24</v>
      </c>
      <c r="F352" t="s">
        <v>31</v>
      </c>
      <c r="G352" t="s">
        <v>19</v>
      </c>
      <c r="H352">
        <v>2</v>
      </c>
      <c r="I352">
        <v>2553.56</v>
      </c>
      <c r="J352">
        <v>5</v>
      </c>
      <c r="K352">
        <v>5107.12</v>
      </c>
    </row>
    <row r="353" spans="1:11">
      <c r="A353">
        <v>10234</v>
      </c>
      <c r="B353" s="1">
        <v>46012</v>
      </c>
      <c r="C353" t="s">
        <v>25</v>
      </c>
      <c r="D353" t="s">
        <v>26</v>
      </c>
      <c r="E353" t="s">
        <v>27</v>
      </c>
      <c r="F353" t="s">
        <v>30</v>
      </c>
      <c r="G353" t="s">
        <v>35</v>
      </c>
      <c r="H353">
        <v>2</v>
      </c>
      <c r="I353">
        <v>2574.2600000000002</v>
      </c>
      <c r="J353">
        <v>15</v>
      </c>
      <c r="K353">
        <v>5148.5200000000004</v>
      </c>
    </row>
    <row r="354" spans="1:11">
      <c r="A354">
        <v>10054</v>
      </c>
      <c r="B354" s="1">
        <v>45771</v>
      </c>
      <c r="C354" t="s">
        <v>25</v>
      </c>
      <c r="D354" t="s">
        <v>26</v>
      </c>
      <c r="E354" t="s">
        <v>18</v>
      </c>
      <c r="F354" t="s">
        <v>31</v>
      </c>
      <c r="G354" t="s">
        <v>19</v>
      </c>
      <c r="H354">
        <v>2</v>
      </c>
      <c r="I354">
        <v>2579.1</v>
      </c>
      <c r="J354">
        <v>20</v>
      </c>
      <c r="K354">
        <v>5158.2</v>
      </c>
    </row>
    <row r="355" spans="1:11">
      <c r="A355">
        <v>10157</v>
      </c>
      <c r="B355" s="1">
        <v>45908</v>
      </c>
      <c r="C355" t="s">
        <v>36</v>
      </c>
      <c r="D355" t="s">
        <v>12</v>
      </c>
      <c r="E355" t="s">
        <v>27</v>
      </c>
      <c r="F355" t="s">
        <v>30</v>
      </c>
      <c r="G355" t="s">
        <v>15</v>
      </c>
      <c r="H355">
        <v>3</v>
      </c>
      <c r="I355">
        <v>1845.31</v>
      </c>
      <c r="J355">
        <v>5</v>
      </c>
      <c r="K355">
        <v>5535.93</v>
      </c>
    </row>
    <row r="356" spans="1:11">
      <c r="A356">
        <v>10423</v>
      </c>
      <c r="B356" s="1">
        <v>45919</v>
      </c>
      <c r="C356" t="s">
        <v>36</v>
      </c>
      <c r="D356" t="s">
        <v>12</v>
      </c>
      <c r="E356" t="s">
        <v>18</v>
      </c>
      <c r="F356" t="s">
        <v>14</v>
      </c>
      <c r="G356" t="s">
        <v>35</v>
      </c>
      <c r="H356">
        <v>3</v>
      </c>
      <c r="I356">
        <v>1878.25</v>
      </c>
      <c r="J356">
        <v>15</v>
      </c>
      <c r="K356">
        <v>5634.75</v>
      </c>
    </row>
    <row r="357" spans="1:11">
      <c r="A357">
        <v>10373</v>
      </c>
      <c r="B357" s="1">
        <v>45717</v>
      </c>
      <c r="C357" t="s">
        <v>36</v>
      </c>
      <c r="D357" t="s">
        <v>12</v>
      </c>
      <c r="E357" t="s">
        <v>18</v>
      </c>
      <c r="F357" t="s">
        <v>30</v>
      </c>
      <c r="G357" t="s">
        <v>19</v>
      </c>
      <c r="H357">
        <v>3</v>
      </c>
      <c r="I357">
        <v>1890.52</v>
      </c>
      <c r="J357">
        <v>0</v>
      </c>
      <c r="K357">
        <v>5671.56</v>
      </c>
    </row>
    <row r="358" spans="1:11">
      <c r="A358">
        <v>10597</v>
      </c>
      <c r="B358" s="1">
        <v>45880</v>
      </c>
      <c r="C358" t="s">
        <v>37</v>
      </c>
      <c r="D358" t="s">
        <v>21</v>
      </c>
      <c r="E358" t="s">
        <v>24</v>
      </c>
      <c r="F358" t="s">
        <v>22</v>
      </c>
      <c r="G358" t="s">
        <v>35</v>
      </c>
      <c r="H358">
        <v>1</v>
      </c>
      <c r="I358">
        <v>5713.3</v>
      </c>
      <c r="J358">
        <v>15</v>
      </c>
      <c r="K358">
        <v>5713.3</v>
      </c>
    </row>
    <row r="359" spans="1:11">
      <c r="A359">
        <v>10228</v>
      </c>
      <c r="B359" s="1">
        <v>45955</v>
      </c>
      <c r="C359" t="s">
        <v>36</v>
      </c>
      <c r="D359" t="s">
        <v>12</v>
      </c>
      <c r="E359" t="s">
        <v>13</v>
      </c>
      <c r="F359" t="s">
        <v>14</v>
      </c>
      <c r="G359" t="s">
        <v>15</v>
      </c>
      <c r="H359">
        <v>3</v>
      </c>
      <c r="I359">
        <v>1907.74</v>
      </c>
      <c r="J359">
        <v>20</v>
      </c>
      <c r="K359">
        <v>5723.22</v>
      </c>
    </row>
    <row r="360" spans="1:11">
      <c r="A360">
        <v>10431</v>
      </c>
      <c r="B360" s="1">
        <v>45717</v>
      </c>
      <c r="C360" t="s">
        <v>37</v>
      </c>
      <c r="D360" t="s">
        <v>21</v>
      </c>
      <c r="E360" t="s">
        <v>18</v>
      </c>
      <c r="F360" t="s">
        <v>40</v>
      </c>
      <c r="G360" t="s">
        <v>35</v>
      </c>
      <c r="H360">
        <v>1</v>
      </c>
      <c r="I360">
        <v>5725.47</v>
      </c>
      <c r="J360">
        <v>20</v>
      </c>
      <c r="K360">
        <v>5725.47</v>
      </c>
    </row>
    <row r="361" spans="1:11">
      <c r="A361">
        <v>10049</v>
      </c>
      <c r="B361" s="1">
        <v>46011</v>
      </c>
      <c r="C361" t="s">
        <v>36</v>
      </c>
      <c r="D361" t="s">
        <v>12</v>
      </c>
      <c r="E361" t="s">
        <v>18</v>
      </c>
      <c r="F361" t="s">
        <v>33</v>
      </c>
      <c r="G361" t="s">
        <v>15</v>
      </c>
      <c r="H361">
        <v>3</v>
      </c>
      <c r="I361">
        <v>1914.67</v>
      </c>
      <c r="J361">
        <v>0</v>
      </c>
      <c r="K361">
        <v>5744.01</v>
      </c>
    </row>
    <row r="362" spans="1:11">
      <c r="A362">
        <v>10605</v>
      </c>
      <c r="B362" s="1">
        <v>45989</v>
      </c>
      <c r="C362" t="s">
        <v>37</v>
      </c>
      <c r="D362" t="s">
        <v>21</v>
      </c>
      <c r="E362" t="s">
        <v>13</v>
      </c>
      <c r="F362" t="s">
        <v>28</v>
      </c>
      <c r="G362" t="s">
        <v>35</v>
      </c>
      <c r="H362">
        <v>1</v>
      </c>
      <c r="I362">
        <v>5772.98</v>
      </c>
      <c r="J362">
        <v>0</v>
      </c>
      <c r="K362">
        <v>5772.98</v>
      </c>
    </row>
    <row r="363" spans="1:11">
      <c r="A363">
        <v>10249</v>
      </c>
      <c r="B363" s="1">
        <v>45903</v>
      </c>
      <c r="C363" t="s">
        <v>37</v>
      </c>
      <c r="D363" t="s">
        <v>21</v>
      </c>
      <c r="E363" t="s">
        <v>27</v>
      </c>
      <c r="F363" t="s">
        <v>31</v>
      </c>
      <c r="G363" t="s">
        <v>35</v>
      </c>
      <c r="H363">
        <v>1</v>
      </c>
      <c r="I363">
        <v>5774.23</v>
      </c>
      <c r="J363">
        <v>0</v>
      </c>
      <c r="K363">
        <v>5774.23</v>
      </c>
    </row>
    <row r="364" spans="1:11">
      <c r="A364">
        <v>10408</v>
      </c>
      <c r="B364" s="1">
        <v>45706</v>
      </c>
      <c r="C364" t="s">
        <v>37</v>
      </c>
      <c r="D364" t="s">
        <v>21</v>
      </c>
      <c r="E364" t="s">
        <v>24</v>
      </c>
      <c r="F364" t="s">
        <v>14</v>
      </c>
      <c r="G364" t="s">
        <v>19</v>
      </c>
      <c r="H364">
        <v>1</v>
      </c>
      <c r="I364">
        <v>5778.66</v>
      </c>
      <c r="J364">
        <v>0</v>
      </c>
      <c r="K364">
        <v>5778.66</v>
      </c>
    </row>
    <row r="365" spans="1:11">
      <c r="A365">
        <v>10406</v>
      </c>
      <c r="B365" s="1">
        <v>45993</v>
      </c>
      <c r="C365" t="s">
        <v>36</v>
      </c>
      <c r="D365" t="s">
        <v>12</v>
      </c>
      <c r="E365" t="s">
        <v>13</v>
      </c>
      <c r="F365" t="s">
        <v>30</v>
      </c>
      <c r="G365" t="s">
        <v>15</v>
      </c>
      <c r="H365">
        <v>3</v>
      </c>
      <c r="I365">
        <v>1930.24</v>
      </c>
      <c r="J365">
        <v>15</v>
      </c>
      <c r="K365">
        <v>5790.72</v>
      </c>
    </row>
    <row r="366" spans="1:11">
      <c r="A366">
        <v>10117</v>
      </c>
      <c r="B366" s="1">
        <v>45898</v>
      </c>
      <c r="C366" t="s">
        <v>36</v>
      </c>
      <c r="D366" t="s">
        <v>12</v>
      </c>
      <c r="E366" t="s">
        <v>13</v>
      </c>
      <c r="F366" t="s">
        <v>31</v>
      </c>
      <c r="G366" t="s">
        <v>19</v>
      </c>
      <c r="H366">
        <v>3</v>
      </c>
      <c r="I366">
        <v>1931.31</v>
      </c>
      <c r="J366">
        <v>20</v>
      </c>
      <c r="K366">
        <v>5793.93</v>
      </c>
    </row>
    <row r="367" spans="1:11">
      <c r="A367">
        <v>10607</v>
      </c>
      <c r="B367" s="1">
        <v>45834</v>
      </c>
      <c r="C367" t="s">
        <v>37</v>
      </c>
      <c r="D367" t="s">
        <v>21</v>
      </c>
      <c r="E367" t="s">
        <v>18</v>
      </c>
      <c r="F367" t="s">
        <v>31</v>
      </c>
      <c r="G367" t="s">
        <v>35</v>
      </c>
      <c r="H367">
        <v>1</v>
      </c>
      <c r="I367">
        <v>5795.61</v>
      </c>
      <c r="J367">
        <v>0</v>
      </c>
      <c r="K367">
        <v>5795.61</v>
      </c>
    </row>
    <row r="368" spans="1:11">
      <c r="A368">
        <v>10094</v>
      </c>
      <c r="B368" s="1">
        <v>45799</v>
      </c>
      <c r="C368" t="s">
        <v>37</v>
      </c>
      <c r="D368" t="s">
        <v>21</v>
      </c>
      <c r="E368" t="s">
        <v>24</v>
      </c>
      <c r="F368" t="s">
        <v>33</v>
      </c>
      <c r="G368" t="s">
        <v>15</v>
      </c>
      <c r="H368">
        <v>1</v>
      </c>
      <c r="I368">
        <v>5843.84</v>
      </c>
      <c r="J368">
        <v>5</v>
      </c>
      <c r="K368">
        <v>5843.84</v>
      </c>
    </row>
    <row r="369" spans="1:11">
      <c r="A369">
        <v>10415</v>
      </c>
      <c r="B369" s="1">
        <v>45854</v>
      </c>
      <c r="C369" t="s">
        <v>37</v>
      </c>
      <c r="D369" t="s">
        <v>21</v>
      </c>
      <c r="E369" t="s">
        <v>13</v>
      </c>
      <c r="F369" t="s">
        <v>31</v>
      </c>
      <c r="G369" t="s">
        <v>19</v>
      </c>
      <c r="H369">
        <v>1</v>
      </c>
      <c r="I369">
        <v>5847.7</v>
      </c>
      <c r="J369">
        <v>15</v>
      </c>
      <c r="K369">
        <v>5847.7</v>
      </c>
    </row>
    <row r="370" spans="1:11">
      <c r="A370">
        <v>10219</v>
      </c>
      <c r="B370" s="1">
        <v>45990</v>
      </c>
      <c r="C370" t="s">
        <v>37</v>
      </c>
      <c r="D370" t="s">
        <v>21</v>
      </c>
      <c r="E370" t="s">
        <v>13</v>
      </c>
      <c r="F370" t="s">
        <v>14</v>
      </c>
      <c r="G370" t="s">
        <v>15</v>
      </c>
      <c r="H370">
        <v>1</v>
      </c>
      <c r="I370">
        <v>5871.15</v>
      </c>
      <c r="J370">
        <v>20</v>
      </c>
      <c r="K370">
        <v>5871.15</v>
      </c>
    </row>
    <row r="371" spans="1:11">
      <c r="A371">
        <v>10173</v>
      </c>
      <c r="B371" s="1">
        <v>45705</v>
      </c>
      <c r="C371" t="s">
        <v>36</v>
      </c>
      <c r="D371" t="s">
        <v>12</v>
      </c>
      <c r="E371" t="s">
        <v>27</v>
      </c>
      <c r="F371" t="s">
        <v>28</v>
      </c>
      <c r="G371" t="s">
        <v>35</v>
      </c>
      <c r="H371">
        <v>3</v>
      </c>
      <c r="I371">
        <v>1958.2</v>
      </c>
      <c r="J371">
        <v>10</v>
      </c>
      <c r="K371">
        <v>5874.6</v>
      </c>
    </row>
    <row r="372" spans="1:11">
      <c r="A372">
        <v>10564</v>
      </c>
      <c r="B372" s="1">
        <v>45995</v>
      </c>
      <c r="C372" t="s">
        <v>36</v>
      </c>
      <c r="D372" t="s">
        <v>12</v>
      </c>
      <c r="E372" t="s">
        <v>18</v>
      </c>
      <c r="F372" t="s">
        <v>28</v>
      </c>
      <c r="G372" t="s">
        <v>19</v>
      </c>
      <c r="H372">
        <v>3</v>
      </c>
      <c r="I372">
        <v>1961.64</v>
      </c>
      <c r="J372">
        <v>20</v>
      </c>
      <c r="K372">
        <v>5884.92</v>
      </c>
    </row>
    <row r="373" spans="1:11">
      <c r="A373">
        <v>10496</v>
      </c>
      <c r="B373" s="1">
        <v>45702</v>
      </c>
      <c r="C373" t="s">
        <v>36</v>
      </c>
      <c r="D373" t="s">
        <v>12</v>
      </c>
      <c r="E373" t="s">
        <v>27</v>
      </c>
      <c r="F373" t="s">
        <v>33</v>
      </c>
      <c r="G373" t="s">
        <v>19</v>
      </c>
      <c r="H373">
        <v>3</v>
      </c>
      <c r="I373">
        <v>1966.72</v>
      </c>
      <c r="J373">
        <v>10</v>
      </c>
      <c r="K373">
        <v>5900.16</v>
      </c>
    </row>
    <row r="374" spans="1:11">
      <c r="A374">
        <v>10393</v>
      </c>
      <c r="B374" s="1">
        <v>45882</v>
      </c>
      <c r="C374" t="s">
        <v>36</v>
      </c>
      <c r="D374" t="s">
        <v>12</v>
      </c>
      <c r="E374" t="s">
        <v>24</v>
      </c>
      <c r="F374" t="s">
        <v>14</v>
      </c>
      <c r="G374" t="s">
        <v>15</v>
      </c>
      <c r="H374">
        <v>3</v>
      </c>
      <c r="I374">
        <v>1967.56</v>
      </c>
      <c r="J374">
        <v>10</v>
      </c>
      <c r="K374">
        <v>5902.68</v>
      </c>
    </row>
    <row r="375" spans="1:11">
      <c r="A375">
        <v>10472</v>
      </c>
      <c r="B375" s="1">
        <v>45972</v>
      </c>
      <c r="C375" t="s">
        <v>37</v>
      </c>
      <c r="D375" t="s">
        <v>21</v>
      </c>
      <c r="E375" t="s">
        <v>13</v>
      </c>
      <c r="F375" t="s">
        <v>14</v>
      </c>
      <c r="G375" t="s">
        <v>35</v>
      </c>
      <c r="H375">
        <v>1</v>
      </c>
      <c r="I375">
        <v>5926.04</v>
      </c>
      <c r="J375">
        <v>15</v>
      </c>
      <c r="K375">
        <v>5926.04</v>
      </c>
    </row>
    <row r="376" spans="1:11">
      <c r="A376">
        <v>10549</v>
      </c>
      <c r="B376" s="1">
        <v>45705</v>
      </c>
      <c r="C376" t="s">
        <v>37</v>
      </c>
      <c r="D376" t="s">
        <v>21</v>
      </c>
      <c r="E376" t="s">
        <v>13</v>
      </c>
      <c r="F376" t="s">
        <v>30</v>
      </c>
      <c r="G376" t="s">
        <v>15</v>
      </c>
      <c r="H376">
        <v>1</v>
      </c>
      <c r="I376">
        <v>5939.48</v>
      </c>
      <c r="J376">
        <v>5</v>
      </c>
      <c r="K376">
        <v>5939.48</v>
      </c>
    </row>
    <row r="377" spans="1:11">
      <c r="A377">
        <v>10070</v>
      </c>
      <c r="B377" s="1">
        <v>45891</v>
      </c>
      <c r="C377" t="s">
        <v>36</v>
      </c>
      <c r="D377" t="s">
        <v>12</v>
      </c>
      <c r="E377" t="s">
        <v>18</v>
      </c>
      <c r="F377" t="s">
        <v>31</v>
      </c>
      <c r="G377" t="s">
        <v>35</v>
      </c>
      <c r="H377">
        <v>3</v>
      </c>
      <c r="I377">
        <v>1984.46</v>
      </c>
      <c r="J377">
        <v>5</v>
      </c>
      <c r="K377">
        <v>5953.38</v>
      </c>
    </row>
    <row r="378" spans="1:11">
      <c r="A378">
        <v>10630</v>
      </c>
      <c r="B378" s="1">
        <v>45718</v>
      </c>
      <c r="C378" t="s">
        <v>37</v>
      </c>
      <c r="D378" t="s">
        <v>21</v>
      </c>
      <c r="E378" t="s">
        <v>18</v>
      </c>
      <c r="F378" t="s">
        <v>31</v>
      </c>
      <c r="G378" t="s">
        <v>19</v>
      </c>
      <c r="H378">
        <v>1</v>
      </c>
      <c r="I378">
        <v>5987.91</v>
      </c>
      <c r="J378">
        <v>5</v>
      </c>
      <c r="K378">
        <v>5987.91</v>
      </c>
    </row>
    <row r="379" spans="1:11">
      <c r="A379">
        <v>10192</v>
      </c>
      <c r="B379" s="1">
        <v>45831</v>
      </c>
      <c r="C379" t="s">
        <v>37</v>
      </c>
      <c r="D379" t="s">
        <v>21</v>
      </c>
      <c r="E379" t="s">
        <v>18</v>
      </c>
      <c r="F379" t="s">
        <v>30</v>
      </c>
      <c r="G379" t="s">
        <v>15</v>
      </c>
      <c r="H379">
        <v>1</v>
      </c>
      <c r="I379">
        <v>6005.29</v>
      </c>
      <c r="J379">
        <v>0</v>
      </c>
      <c r="K379">
        <v>6005.29</v>
      </c>
    </row>
    <row r="380" spans="1:11">
      <c r="A380">
        <v>10465</v>
      </c>
      <c r="B380" s="1">
        <v>46016</v>
      </c>
      <c r="C380" t="s">
        <v>37</v>
      </c>
      <c r="D380" t="s">
        <v>21</v>
      </c>
      <c r="E380" t="s">
        <v>13</v>
      </c>
      <c r="F380" t="s">
        <v>40</v>
      </c>
      <c r="G380" t="s">
        <v>35</v>
      </c>
      <c r="H380">
        <v>1</v>
      </c>
      <c r="I380">
        <v>6036.86</v>
      </c>
      <c r="J380">
        <v>0</v>
      </c>
      <c r="K380">
        <v>6036.86</v>
      </c>
    </row>
    <row r="381" spans="1:11">
      <c r="A381">
        <v>10610</v>
      </c>
      <c r="B381" s="1">
        <v>45955</v>
      </c>
      <c r="C381" t="s">
        <v>37</v>
      </c>
      <c r="D381" t="s">
        <v>21</v>
      </c>
      <c r="E381" t="s">
        <v>27</v>
      </c>
      <c r="F381" t="s">
        <v>30</v>
      </c>
      <c r="G381" t="s">
        <v>19</v>
      </c>
      <c r="H381">
        <v>1</v>
      </c>
      <c r="I381">
        <v>6101.76</v>
      </c>
      <c r="J381">
        <v>0</v>
      </c>
      <c r="K381">
        <v>6101.76</v>
      </c>
    </row>
    <row r="382" spans="1:11">
      <c r="A382">
        <v>10344</v>
      </c>
      <c r="B382" s="1">
        <v>45948</v>
      </c>
      <c r="C382" t="s">
        <v>37</v>
      </c>
      <c r="D382" t="s">
        <v>21</v>
      </c>
      <c r="E382" t="s">
        <v>27</v>
      </c>
      <c r="F382" t="s">
        <v>30</v>
      </c>
      <c r="G382" t="s">
        <v>15</v>
      </c>
      <c r="H382">
        <v>1</v>
      </c>
      <c r="I382">
        <v>6109.64</v>
      </c>
      <c r="J382">
        <v>0</v>
      </c>
      <c r="K382">
        <v>6109.64</v>
      </c>
    </row>
    <row r="383" spans="1:11">
      <c r="A383">
        <v>10601</v>
      </c>
      <c r="B383" s="1">
        <v>45974</v>
      </c>
      <c r="C383" t="s">
        <v>37</v>
      </c>
      <c r="D383" t="s">
        <v>21</v>
      </c>
      <c r="E383" t="s">
        <v>24</v>
      </c>
      <c r="F383" t="s">
        <v>22</v>
      </c>
      <c r="G383" t="s">
        <v>35</v>
      </c>
      <c r="H383">
        <v>1</v>
      </c>
      <c r="I383">
        <v>6119.51</v>
      </c>
      <c r="J383">
        <v>0</v>
      </c>
      <c r="K383">
        <v>6119.51</v>
      </c>
    </row>
    <row r="384" spans="1:11">
      <c r="A384">
        <v>10586</v>
      </c>
      <c r="B384" s="1">
        <v>45737</v>
      </c>
      <c r="C384" t="s">
        <v>37</v>
      </c>
      <c r="D384" t="s">
        <v>21</v>
      </c>
      <c r="E384" t="s">
        <v>24</v>
      </c>
      <c r="F384" t="s">
        <v>14</v>
      </c>
      <c r="G384" t="s">
        <v>19</v>
      </c>
      <c r="H384">
        <v>1</v>
      </c>
      <c r="I384">
        <v>6163.17</v>
      </c>
      <c r="J384">
        <v>15</v>
      </c>
      <c r="K384">
        <v>6163.17</v>
      </c>
    </row>
    <row r="385" spans="1:11">
      <c r="A385">
        <v>10230</v>
      </c>
      <c r="B385" s="1">
        <v>45892</v>
      </c>
      <c r="C385" t="s">
        <v>37</v>
      </c>
      <c r="D385" t="s">
        <v>21</v>
      </c>
      <c r="E385" t="s">
        <v>24</v>
      </c>
      <c r="F385" t="s">
        <v>30</v>
      </c>
      <c r="G385" t="s">
        <v>15</v>
      </c>
      <c r="H385">
        <v>1</v>
      </c>
      <c r="I385">
        <v>6173.64</v>
      </c>
      <c r="J385">
        <v>0</v>
      </c>
      <c r="K385">
        <v>6173.64</v>
      </c>
    </row>
    <row r="386" spans="1:11">
      <c r="A386">
        <v>10438</v>
      </c>
      <c r="B386" s="1">
        <v>45937</v>
      </c>
      <c r="C386" t="s">
        <v>32</v>
      </c>
      <c r="D386" t="s">
        <v>26</v>
      </c>
      <c r="E386" t="s">
        <v>18</v>
      </c>
      <c r="F386" t="s">
        <v>14</v>
      </c>
      <c r="G386" t="s">
        <v>15</v>
      </c>
      <c r="H386">
        <v>5</v>
      </c>
      <c r="I386">
        <v>1237.1600000000001</v>
      </c>
      <c r="J386">
        <v>10</v>
      </c>
      <c r="K386">
        <v>6185.8</v>
      </c>
    </row>
    <row r="387" spans="1:11">
      <c r="A387">
        <v>10303</v>
      </c>
      <c r="B387" s="1">
        <v>45843</v>
      </c>
      <c r="C387" t="s">
        <v>37</v>
      </c>
      <c r="D387" t="s">
        <v>21</v>
      </c>
      <c r="E387" t="s">
        <v>24</v>
      </c>
      <c r="F387" t="s">
        <v>33</v>
      </c>
      <c r="G387" t="s">
        <v>15</v>
      </c>
      <c r="H387">
        <v>1</v>
      </c>
      <c r="I387">
        <v>6196.23</v>
      </c>
      <c r="J387">
        <v>10</v>
      </c>
      <c r="K387">
        <v>6196.23</v>
      </c>
    </row>
    <row r="388" spans="1:11">
      <c r="A388">
        <v>10339</v>
      </c>
      <c r="B388" s="1">
        <v>45975</v>
      </c>
      <c r="C388" t="s">
        <v>32</v>
      </c>
      <c r="D388" t="s">
        <v>26</v>
      </c>
      <c r="E388" t="s">
        <v>13</v>
      </c>
      <c r="F388" t="s">
        <v>30</v>
      </c>
      <c r="G388" t="s">
        <v>19</v>
      </c>
      <c r="H388">
        <v>5</v>
      </c>
      <c r="I388">
        <v>1244.31</v>
      </c>
      <c r="J388">
        <v>5</v>
      </c>
      <c r="K388">
        <v>6221.55</v>
      </c>
    </row>
    <row r="389" spans="1:11">
      <c r="A389">
        <v>10448</v>
      </c>
      <c r="B389" s="1">
        <v>46018</v>
      </c>
      <c r="C389" t="s">
        <v>20</v>
      </c>
      <c r="D389" t="s">
        <v>21</v>
      </c>
      <c r="E389" t="s">
        <v>24</v>
      </c>
      <c r="F389" t="s">
        <v>14</v>
      </c>
      <c r="G389" t="s">
        <v>19</v>
      </c>
      <c r="H389">
        <v>1</v>
      </c>
      <c r="I389">
        <v>6233.33</v>
      </c>
      <c r="J389">
        <v>0</v>
      </c>
      <c r="K389">
        <v>6233.33</v>
      </c>
    </row>
    <row r="390" spans="1:11">
      <c r="A390">
        <v>10550</v>
      </c>
      <c r="B390" s="1">
        <v>45855</v>
      </c>
      <c r="C390" t="s">
        <v>20</v>
      </c>
      <c r="D390" t="s">
        <v>21</v>
      </c>
      <c r="E390" t="s">
        <v>27</v>
      </c>
      <c r="F390" t="s">
        <v>31</v>
      </c>
      <c r="G390" t="s">
        <v>35</v>
      </c>
      <c r="H390">
        <v>1</v>
      </c>
      <c r="I390">
        <v>6247.53</v>
      </c>
      <c r="J390">
        <v>15</v>
      </c>
      <c r="K390">
        <v>6247.53</v>
      </c>
    </row>
    <row r="391" spans="1:11">
      <c r="A391">
        <v>10396</v>
      </c>
      <c r="B391" s="1">
        <v>45806</v>
      </c>
      <c r="C391" t="s">
        <v>20</v>
      </c>
      <c r="D391" t="s">
        <v>21</v>
      </c>
      <c r="E391" t="s">
        <v>13</v>
      </c>
      <c r="F391" t="s">
        <v>33</v>
      </c>
      <c r="G391" t="s">
        <v>35</v>
      </c>
      <c r="H391">
        <v>1</v>
      </c>
      <c r="I391">
        <v>6262.17</v>
      </c>
      <c r="J391">
        <v>20</v>
      </c>
      <c r="K391">
        <v>6262.17</v>
      </c>
    </row>
    <row r="392" spans="1:11">
      <c r="A392">
        <v>10154</v>
      </c>
      <c r="B392" s="1">
        <v>45812</v>
      </c>
      <c r="C392" t="s">
        <v>37</v>
      </c>
      <c r="D392" t="s">
        <v>21</v>
      </c>
      <c r="E392" t="s">
        <v>27</v>
      </c>
      <c r="F392" t="s">
        <v>28</v>
      </c>
      <c r="G392" t="s">
        <v>15</v>
      </c>
      <c r="H392">
        <v>1</v>
      </c>
      <c r="I392">
        <v>6266.71</v>
      </c>
      <c r="J392">
        <v>0</v>
      </c>
      <c r="K392">
        <v>6266.71</v>
      </c>
    </row>
    <row r="393" spans="1:11">
      <c r="A393">
        <v>10473</v>
      </c>
      <c r="B393" s="1">
        <v>45808</v>
      </c>
      <c r="C393" t="s">
        <v>37</v>
      </c>
      <c r="D393" t="s">
        <v>21</v>
      </c>
      <c r="E393" t="s">
        <v>18</v>
      </c>
      <c r="F393" t="s">
        <v>14</v>
      </c>
      <c r="G393" t="s">
        <v>35</v>
      </c>
      <c r="H393">
        <v>1</v>
      </c>
      <c r="I393">
        <v>6268.23</v>
      </c>
      <c r="J393">
        <v>10</v>
      </c>
      <c r="K393">
        <v>6268.23</v>
      </c>
    </row>
    <row r="394" spans="1:11">
      <c r="A394">
        <v>10493</v>
      </c>
      <c r="B394" s="1">
        <v>45675</v>
      </c>
      <c r="C394" t="s">
        <v>37</v>
      </c>
      <c r="D394" t="s">
        <v>21</v>
      </c>
      <c r="E394" t="s">
        <v>18</v>
      </c>
      <c r="F394" t="s">
        <v>28</v>
      </c>
      <c r="G394" t="s">
        <v>19</v>
      </c>
      <c r="H394">
        <v>1</v>
      </c>
      <c r="I394">
        <v>6268.39</v>
      </c>
      <c r="J394">
        <v>0</v>
      </c>
      <c r="K394">
        <v>6268.39</v>
      </c>
    </row>
    <row r="395" spans="1:11">
      <c r="A395">
        <v>10319</v>
      </c>
      <c r="B395" s="1">
        <v>45747</v>
      </c>
      <c r="C395" t="s">
        <v>37</v>
      </c>
      <c r="D395" t="s">
        <v>21</v>
      </c>
      <c r="E395" t="s">
        <v>27</v>
      </c>
      <c r="F395" t="s">
        <v>33</v>
      </c>
      <c r="G395" t="s">
        <v>19</v>
      </c>
      <c r="H395">
        <v>1</v>
      </c>
      <c r="I395">
        <v>6282.33</v>
      </c>
      <c r="J395">
        <v>15</v>
      </c>
      <c r="K395">
        <v>6282.33</v>
      </c>
    </row>
    <row r="396" spans="1:11">
      <c r="A396">
        <v>10194</v>
      </c>
      <c r="B396" s="1">
        <v>45759</v>
      </c>
      <c r="C396" t="s">
        <v>20</v>
      </c>
      <c r="D396" t="s">
        <v>21</v>
      </c>
      <c r="E396" t="s">
        <v>18</v>
      </c>
      <c r="F396" t="s">
        <v>33</v>
      </c>
      <c r="G396" t="s">
        <v>15</v>
      </c>
      <c r="H396">
        <v>1</v>
      </c>
      <c r="I396">
        <v>6289.18</v>
      </c>
      <c r="J396">
        <v>20</v>
      </c>
      <c r="K396">
        <v>6289.18</v>
      </c>
    </row>
    <row r="397" spans="1:11">
      <c r="A397">
        <v>10486</v>
      </c>
      <c r="B397" s="1">
        <v>45996</v>
      </c>
      <c r="C397" t="s">
        <v>20</v>
      </c>
      <c r="D397" t="s">
        <v>21</v>
      </c>
      <c r="E397" t="s">
        <v>27</v>
      </c>
      <c r="F397" t="s">
        <v>14</v>
      </c>
      <c r="G397" t="s">
        <v>15</v>
      </c>
      <c r="H397">
        <v>1</v>
      </c>
      <c r="I397">
        <v>6308.55</v>
      </c>
      <c r="J397">
        <v>15</v>
      </c>
      <c r="K397">
        <v>6308.55</v>
      </c>
    </row>
    <row r="398" spans="1:11">
      <c r="A398">
        <v>10003</v>
      </c>
      <c r="B398" s="1">
        <v>45916</v>
      </c>
      <c r="C398" t="s">
        <v>32</v>
      </c>
      <c r="D398" t="s">
        <v>26</v>
      </c>
      <c r="E398" t="s">
        <v>24</v>
      </c>
      <c r="F398" t="s">
        <v>33</v>
      </c>
      <c r="G398" t="s">
        <v>15</v>
      </c>
      <c r="H398">
        <v>5</v>
      </c>
      <c r="I398">
        <v>1262.69</v>
      </c>
      <c r="J398">
        <v>10</v>
      </c>
      <c r="K398">
        <v>6313.45</v>
      </c>
    </row>
    <row r="399" spans="1:11">
      <c r="A399">
        <v>10011</v>
      </c>
      <c r="B399" s="1">
        <v>45985</v>
      </c>
      <c r="C399" t="s">
        <v>20</v>
      </c>
      <c r="D399" t="s">
        <v>21</v>
      </c>
      <c r="E399" t="s">
        <v>18</v>
      </c>
      <c r="F399" t="s">
        <v>22</v>
      </c>
      <c r="G399" t="s">
        <v>19</v>
      </c>
      <c r="H399">
        <v>1</v>
      </c>
      <c r="I399">
        <v>6322.91</v>
      </c>
      <c r="J399">
        <v>0</v>
      </c>
      <c r="K399">
        <v>6322.91</v>
      </c>
    </row>
    <row r="400" spans="1:11">
      <c r="A400">
        <v>10330</v>
      </c>
      <c r="B400" s="1">
        <v>45732</v>
      </c>
      <c r="C400" t="s">
        <v>32</v>
      </c>
      <c r="D400" t="s">
        <v>26</v>
      </c>
      <c r="E400" t="s">
        <v>24</v>
      </c>
      <c r="F400" t="s">
        <v>30</v>
      </c>
      <c r="G400" t="s">
        <v>35</v>
      </c>
      <c r="H400">
        <v>5</v>
      </c>
      <c r="I400">
        <v>1272.4000000000001</v>
      </c>
      <c r="J400">
        <v>0</v>
      </c>
      <c r="K400">
        <v>6362</v>
      </c>
    </row>
    <row r="401" spans="1:11">
      <c r="A401">
        <v>10542</v>
      </c>
      <c r="B401" s="1">
        <v>45792</v>
      </c>
      <c r="C401" t="s">
        <v>32</v>
      </c>
      <c r="D401" t="s">
        <v>26</v>
      </c>
      <c r="E401" t="s">
        <v>18</v>
      </c>
      <c r="F401" t="s">
        <v>30</v>
      </c>
      <c r="G401" t="s">
        <v>35</v>
      </c>
      <c r="H401">
        <v>5</v>
      </c>
      <c r="I401">
        <v>1272.42</v>
      </c>
      <c r="J401">
        <v>0</v>
      </c>
      <c r="K401">
        <v>6362.1</v>
      </c>
    </row>
    <row r="402" spans="1:11">
      <c r="A402">
        <v>10279</v>
      </c>
      <c r="B402" s="1">
        <v>45945</v>
      </c>
      <c r="C402" t="s">
        <v>32</v>
      </c>
      <c r="D402" t="s">
        <v>26</v>
      </c>
      <c r="E402" t="s">
        <v>13</v>
      </c>
      <c r="F402" t="s">
        <v>22</v>
      </c>
      <c r="G402" t="s">
        <v>19</v>
      </c>
      <c r="H402">
        <v>5</v>
      </c>
      <c r="I402">
        <v>1274.81</v>
      </c>
      <c r="J402">
        <v>0</v>
      </c>
      <c r="K402">
        <v>6374.05</v>
      </c>
    </row>
    <row r="403" spans="1:11">
      <c r="A403">
        <v>10146</v>
      </c>
      <c r="B403" s="1">
        <v>46005</v>
      </c>
      <c r="C403" t="s">
        <v>20</v>
      </c>
      <c r="D403" t="s">
        <v>21</v>
      </c>
      <c r="E403" t="s">
        <v>18</v>
      </c>
      <c r="F403" t="s">
        <v>22</v>
      </c>
      <c r="G403" t="s">
        <v>15</v>
      </c>
      <c r="H403">
        <v>1</v>
      </c>
      <c r="I403">
        <v>6374.83</v>
      </c>
      <c r="J403">
        <v>5</v>
      </c>
      <c r="K403">
        <v>6374.83</v>
      </c>
    </row>
    <row r="404" spans="1:11">
      <c r="A404">
        <v>10055</v>
      </c>
      <c r="B404" s="1">
        <v>45772</v>
      </c>
      <c r="C404" t="s">
        <v>32</v>
      </c>
      <c r="D404" t="s">
        <v>26</v>
      </c>
      <c r="E404" t="s">
        <v>24</v>
      </c>
      <c r="F404" t="s">
        <v>22</v>
      </c>
      <c r="G404" t="s">
        <v>15</v>
      </c>
      <c r="H404">
        <v>5</v>
      </c>
      <c r="I404">
        <v>1276.69</v>
      </c>
      <c r="J404">
        <v>20</v>
      </c>
      <c r="K404">
        <v>6383.45</v>
      </c>
    </row>
    <row r="405" spans="1:11">
      <c r="A405">
        <v>10436</v>
      </c>
      <c r="B405" s="1">
        <v>45825</v>
      </c>
      <c r="C405" t="s">
        <v>20</v>
      </c>
      <c r="D405" t="s">
        <v>21</v>
      </c>
      <c r="E405" t="s">
        <v>24</v>
      </c>
      <c r="F405" t="s">
        <v>33</v>
      </c>
      <c r="G405" t="s">
        <v>19</v>
      </c>
      <c r="H405">
        <v>1</v>
      </c>
      <c r="I405">
        <v>6413.81</v>
      </c>
      <c r="J405">
        <v>0</v>
      </c>
      <c r="K405">
        <v>6413.81</v>
      </c>
    </row>
    <row r="406" spans="1:11">
      <c r="A406">
        <v>10108</v>
      </c>
      <c r="B406" s="1">
        <v>45746</v>
      </c>
      <c r="C406" t="s">
        <v>32</v>
      </c>
      <c r="D406" t="s">
        <v>26</v>
      </c>
      <c r="E406" t="s">
        <v>24</v>
      </c>
      <c r="F406" t="s">
        <v>14</v>
      </c>
      <c r="G406" t="s">
        <v>15</v>
      </c>
      <c r="H406">
        <v>5</v>
      </c>
      <c r="I406">
        <v>1292.57</v>
      </c>
      <c r="J406">
        <v>10</v>
      </c>
      <c r="K406">
        <v>6462.85</v>
      </c>
    </row>
    <row r="407" spans="1:11">
      <c r="A407">
        <v>10371</v>
      </c>
      <c r="B407" s="1">
        <v>45919</v>
      </c>
      <c r="C407" t="s">
        <v>32</v>
      </c>
      <c r="D407" t="s">
        <v>26</v>
      </c>
      <c r="E407" t="s">
        <v>18</v>
      </c>
      <c r="F407" t="s">
        <v>31</v>
      </c>
      <c r="G407" t="s">
        <v>19</v>
      </c>
      <c r="H407">
        <v>5</v>
      </c>
      <c r="I407">
        <v>1294.2</v>
      </c>
      <c r="J407">
        <v>15</v>
      </c>
      <c r="K407">
        <v>6471</v>
      </c>
    </row>
    <row r="408" spans="1:11">
      <c r="A408">
        <v>10242</v>
      </c>
      <c r="B408" s="1">
        <v>45785</v>
      </c>
      <c r="C408" t="s">
        <v>20</v>
      </c>
      <c r="D408" t="s">
        <v>21</v>
      </c>
      <c r="E408" t="s">
        <v>24</v>
      </c>
      <c r="F408" t="s">
        <v>28</v>
      </c>
      <c r="G408" t="s">
        <v>35</v>
      </c>
      <c r="H408">
        <v>1</v>
      </c>
      <c r="I408">
        <v>6498.38</v>
      </c>
      <c r="J408">
        <v>5</v>
      </c>
      <c r="K408">
        <v>6498.38</v>
      </c>
    </row>
    <row r="409" spans="1:11">
      <c r="A409">
        <v>10101</v>
      </c>
      <c r="B409" s="1">
        <v>45665</v>
      </c>
      <c r="C409" t="s">
        <v>20</v>
      </c>
      <c r="D409" t="s">
        <v>21</v>
      </c>
      <c r="E409" t="s">
        <v>18</v>
      </c>
      <c r="F409" t="s">
        <v>30</v>
      </c>
      <c r="G409" t="s">
        <v>15</v>
      </c>
      <c r="H409">
        <v>1</v>
      </c>
      <c r="I409">
        <v>6533.68</v>
      </c>
      <c r="J409">
        <v>15</v>
      </c>
      <c r="K409">
        <v>6533.68</v>
      </c>
    </row>
    <row r="410" spans="1:11">
      <c r="A410">
        <v>10222</v>
      </c>
      <c r="B410" s="1">
        <v>45812</v>
      </c>
      <c r="C410" t="s">
        <v>32</v>
      </c>
      <c r="D410" t="s">
        <v>26</v>
      </c>
      <c r="E410" t="s">
        <v>24</v>
      </c>
      <c r="F410" t="s">
        <v>40</v>
      </c>
      <c r="G410" t="s">
        <v>15</v>
      </c>
      <c r="H410">
        <v>5</v>
      </c>
      <c r="I410">
        <v>1317.05</v>
      </c>
      <c r="J410">
        <v>10</v>
      </c>
      <c r="K410">
        <v>6585.25</v>
      </c>
    </row>
    <row r="411" spans="1:11">
      <c r="A411">
        <v>10289</v>
      </c>
      <c r="B411" s="1">
        <v>45822</v>
      </c>
      <c r="C411" t="s">
        <v>20</v>
      </c>
      <c r="D411" t="s">
        <v>21</v>
      </c>
      <c r="E411" t="s">
        <v>13</v>
      </c>
      <c r="F411" t="s">
        <v>22</v>
      </c>
      <c r="G411" t="s">
        <v>15</v>
      </c>
      <c r="H411">
        <v>1</v>
      </c>
      <c r="I411">
        <v>6597.98</v>
      </c>
      <c r="J411">
        <v>0</v>
      </c>
      <c r="K411">
        <v>6597.98</v>
      </c>
    </row>
    <row r="412" spans="1:11">
      <c r="A412">
        <v>10537</v>
      </c>
      <c r="B412" s="1">
        <v>45931</v>
      </c>
      <c r="C412" t="s">
        <v>20</v>
      </c>
      <c r="D412" t="s">
        <v>21</v>
      </c>
      <c r="E412" t="s">
        <v>24</v>
      </c>
      <c r="F412" t="s">
        <v>33</v>
      </c>
      <c r="G412" t="s">
        <v>15</v>
      </c>
      <c r="H412">
        <v>1</v>
      </c>
      <c r="I412">
        <v>6598.8</v>
      </c>
      <c r="J412">
        <v>0</v>
      </c>
      <c r="K412">
        <v>6598.8</v>
      </c>
    </row>
    <row r="413" spans="1:11">
      <c r="A413">
        <v>10587</v>
      </c>
      <c r="B413" s="1">
        <v>45996</v>
      </c>
      <c r="C413" t="s">
        <v>38</v>
      </c>
      <c r="D413" t="s">
        <v>12</v>
      </c>
      <c r="E413" t="s">
        <v>13</v>
      </c>
      <c r="F413" t="s">
        <v>31</v>
      </c>
      <c r="G413" t="s">
        <v>35</v>
      </c>
      <c r="H413">
        <v>3</v>
      </c>
      <c r="I413">
        <v>2200.81</v>
      </c>
      <c r="J413">
        <v>15</v>
      </c>
      <c r="K413">
        <v>6602.43</v>
      </c>
    </row>
    <row r="414" spans="1:11">
      <c r="A414">
        <v>10352</v>
      </c>
      <c r="B414" s="1">
        <v>45736</v>
      </c>
      <c r="C414" t="s">
        <v>20</v>
      </c>
      <c r="D414" t="s">
        <v>21</v>
      </c>
      <c r="E414" t="s">
        <v>27</v>
      </c>
      <c r="F414" t="s">
        <v>22</v>
      </c>
      <c r="G414" t="s">
        <v>35</v>
      </c>
      <c r="H414">
        <v>1</v>
      </c>
      <c r="I414">
        <v>6654.75</v>
      </c>
      <c r="J414">
        <v>0</v>
      </c>
      <c r="K414">
        <v>6654.75</v>
      </c>
    </row>
    <row r="415" spans="1:11">
      <c r="A415">
        <v>10318</v>
      </c>
      <c r="B415" s="1">
        <v>45924</v>
      </c>
      <c r="C415" t="s">
        <v>23</v>
      </c>
      <c r="D415" t="s">
        <v>12</v>
      </c>
      <c r="E415" t="s">
        <v>18</v>
      </c>
      <c r="F415" t="s">
        <v>31</v>
      </c>
      <c r="G415" t="s">
        <v>19</v>
      </c>
      <c r="H415">
        <v>2</v>
      </c>
      <c r="I415">
        <v>3345.38</v>
      </c>
      <c r="J415">
        <v>10</v>
      </c>
      <c r="K415">
        <v>6690.76</v>
      </c>
    </row>
    <row r="416" spans="1:11">
      <c r="A416">
        <v>10546</v>
      </c>
      <c r="B416" s="1">
        <v>45895</v>
      </c>
      <c r="C416" t="s">
        <v>20</v>
      </c>
      <c r="D416" t="s">
        <v>21</v>
      </c>
      <c r="E416" t="s">
        <v>24</v>
      </c>
      <c r="F416" t="s">
        <v>28</v>
      </c>
      <c r="G416" t="s">
        <v>15</v>
      </c>
      <c r="H416">
        <v>1</v>
      </c>
      <c r="I416">
        <v>6727.93</v>
      </c>
      <c r="J416">
        <v>0</v>
      </c>
      <c r="K416">
        <v>6727.93</v>
      </c>
    </row>
    <row r="417" spans="1:11">
      <c r="A417">
        <v>10244</v>
      </c>
      <c r="B417" s="1">
        <v>46013</v>
      </c>
      <c r="C417" t="s">
        <v>20</v>
      </c>
      <c r="D417" t="s">
        <v>21</v>
      </c>
      <c r="E417" t="s">
        <v>27</v>
      </c>
      <c r="F417" t="s">
        <v>14</v>
      </c>
      <c r="G417" t="s">
        <v>15</v>
      </c>
      <c r="H417">
        <v>1</v>
      </c>
      <c r="I417">
        <v>6728.3</v>
      </c>
      <c r="J417">
        <v>5</v>
      </c>
      <c r="K417">
        <v>6728.3</v>
      </c>
    </row>
    <row r="418" spans="1:11">
      <c r="A418">
        <v>10261</v>
      </c>
      <c r="B418" s="1">
        <v>45730</v>
      </c>
      <c r="C418" t="s">
        <v>32</v>
      </c>
      <c r="D418" t="s">
        <v>26</v>
      </c>
      <c r="E418" t="s">
        <v>24</v>
      </c>
      <c r="F418" t="s">
        <v>28</v>
      </c>
      <c r="G418" t="s">
        <v>19</v>
      </c>
      <c r="H418">
        <v>5</v>
      </c>
      <c r="I418">
        <v>1346.3</v>
      </c>
      <c r="J418">
        <v>5</v>
      </c>
      <c r="K418">
        <v>6731.5</v>
      </c>
    </row>
    <row r="419" spans="1:11">
      <c r="A419">
        <v>10386</v>
      </c>
      <c r="B419" s="1">
        <v>45729</v>
      </c>
      <c r="C419" t="s">
        <v>20</v>
      </c>
      <c r="D419" t="s">
        <v>21</v>
      </c>
      <c r="E419" t="s">
        <v>18</v>
      </c>
      <c r="F419" t="s">
        <v>30</v>
      </c>
      <c r="G419" t="s">
        <v>19</v>
      </c>
      <c r="H419">
        <v>1</v>
      </c>
      <c r="I419">
        <v>6736.55</v>
      </c>
      <c r="J419">
        <v>0</v>
      </c>
      <c r="K419">
        <v>6736.55</v>
      </c>
    </row>
    <row r="420" spans="1:11">
      <c r="A420">
        <v>10532</v>
      </c>
      <c r="B420" s="1">
        <v>45785</v>
      </c>
      <c r="C420" t="s">
        <v>23</v>
      </c>
      <c r="D420" t="s">
        <v>12</v>
      </c>
      <c r="E420" t="s">
        <v>18</v>
      </c>
      <c r="F420" t="s">
        <v>22</v>
      </c>
      <c r="G420" t="s">
        <v>19</v>
      </c>
      <c r="H420">
        <v>2</v>
      </c>
      <c r="I420">
        <v>3369.16</v>
      </c>
      <c r="J420">
        <v>5</v>
      </c>
      <c r="K420">
        <v>6738.32</v>
      </c>
    </row>
    <row r="421" spans="1:11">
      <c r="A421">
        <v>10044</v>
      </c>
      <c r="B421" s="1">
        <v>45997</v>
      </c>
      <c r="C421" t="s">
        <v>20</v>
      </c>
      <c r="D421" t="s">
        <v>21</v>
      </c>
      <c r="E421" t="s">
        <v>24</v>
      </c>
      <c r="F421" t="s">
        <v>14</v>
      </c>
      <c r="G421" t="s">
        <v>19</v>
      </c>
      <c r="H421">
        <v>1</v>
      </c>
      <c r="I421">
        <v>6752.27</v>
      </c>
      <c r="J421">
        <v>15</v>
      </c>
      <c r="K421">
        <v>6752.27</v>
      </c>
    </row>
    <row r="422" spans="1:11">
      <c r="A422">
        <v>10565</v>
      </c>
      <c r="B422" s="1">
        <v>45938</v>
      </c>
      <c r="C422" t="s">
        <v>20</v>
      </c>
      <c r="D422" t="s">
        <v>21</v>
      </c>
      <c r="E422" t="s">
        <v>13</v>
      </c>
      <c r="F422" t="s">
        <v>22</v>
      </c>
      <c r="G422" t="s">
        <v>15</v>
      </c>
      <c r="H422">
        <v>1</v>
      </c>
      <c r="I422">
        <v>6756.93</v>
      </c>
      <c r="J422">
        <v>5</v>
      </c>
      <c r="K422">
        <v>6756.93</v>
      </c>
    </row>
    <row r="423" spans="1:11">
      <c r="A423">
        <v>10325</v>
      </c>
      <c r="B423" s="1">
        <v>46001</v>
      </c>
      <c r="C423" t="s">
        <v>38</v>
      </c>
      <c r="D423" t="s">
        <v>12</v>
      </c>
      <c r="E423" t="s">
        <v>18</v>
      </c>
      <c r="F423" t="s">
        <v>31</v>
      </c>
      <c r="G423" t="s">
        <v>15</v>
      </c>
      <c r="H423">
        <v>3</v>
      </c>
      <c r="I423">
        <v>2253.75</v>
      </c>
      <c r="J423">
        <v>0</v>
      </c>
      <c r="K423">
        <v>6761.25</v>
      </c>
    </row>
    <row r="424" spans="1:11">
      <c r="A424">
        <v>10010</v>
      </c>
      <c r="B424" s="1">
        <v>45694</v>
      </c>
      <c r="C424" t="s">
        <v>23</v>
      </c>
      <c r="D424" t="s">
        <v>12</v>
      </c>
      <c r="E424" t="s">
        <v>18</v>
      </c>
      <c r="F424" t="s">
        <v>33</v>
      </c>
      <c r="G424" t="s">
        <v>35</v>
      </c>
      <c r="H424">
        <v>2</v>
      </c>
      <c r="I424">
        <v>3381.22</v>
      </c>
      <c r="J424">
        <v>5</v>
      </c>
      <c r="K424">
        <v>6762.44</v>
      </c>
    </row>
    <row r="425" spans="1:11">
      <c r="A425">
        <v>10517</v>
      </c>
      <c r="B425" s="1">
        <v>45824</v>
      </c>
      <c r="C425" t="s">
        <v>23</v>
      </c>
      <c r="D425" t="s">
        <v>12</v>
      </c>
      <c r="E425" t="s">
        <v>13</v>
      </c>
      <c r="F425" t="s">
        <v>30</v>
      </c>
      <c r="G425" t="s">
        <v>35</v>
      </c>
      <c r="H425">
        <v>2</v>
      </c>
      <c r="I425">
        <v>3389.96</v>
      </c>
      <c r="J425">
        <v>10</v>
      </c>
      <c r="K425">
        <v>6779.92</v>
      </c>
    </row>
    <row r="426" spans="1:11">
      <c r="A426">
        <v>10509</v>
      </c>
      <c r="B426" s="1">
        <v>45886</v>
      </c>
      <c r="C426" t="s">
        <v>38</v>
      </c>
      <c r="D426" t="s">
        <v>12</v>
      </c>
      <c r="E426" t="s">
        <v>18</v>
      </c>
      <c r="F426" t="s">
        <v>31</v>
      </c>
      <c r="G426" t="s">
        <v>35</v>
      </c>
      <c r="H426">
        <v>3</v>
      </c>
      <c r="I426">
        <v>2263.19</v>
      </c>
      <c r="J426">
        <v>20</v>
      </c>
      <c r="K426">
        <v>6789.57</v>
      </c>
    </row>
    <row r="427" spans="1:11">
      <c r="A427">
        <v>10343</v>
      </c>
      <c r="B427" s="1">
        <v>45827</v>
      </c>
      <c r="C427" t="s">
        <v>23</v>
      </c>
      <c r="D427" t="s">
        <v>12</v>
      </c>
      <c r="E427" t="s">
        <v>24</v>
      </c>
      <c r="F427" t="s">
        <v>33</v>
      </c>
      <c r="G427" t="s">
        <v>15</v>
      </c>
      <c r="H427">
        <v>2</v>
      </c>
      <c r="I427">
        <v>3398.02</v>
      </c>
      <c r="J427">
        <v>20</v>
      </c>
      <c r="K427">
        <v>6796.04</v>
      </c>
    </row>
    <row r="428" spans="1:11">
      <c r="A428">
        <v>10001</v>
      </c>
      <c r="B428" s="1">
        <v>45715</v>
      </c>
      <c r="C428" t="s">
        <v>23</v>
      </c>
      <c r="D428" t="s">
        <v>12</v>
      </c>
      <c r="E428" t="s">
        <v>24</v>
      </c>
      <c r="F428" t="s">
        <v>22</v>
      </c>
      <c r="G428" t="s">
        <v>19</v>
      </c>
      <c r="H428">
        <v>2</v>
      </c>
      <c r="I428">
        <v>3402.15</v>
      </c>
      <c r="J428">
        <v>15</v>
      </c>
      <c r="K428">
        <v>6804.3</v>
      </c>
    </row>
    <row r="429" spans="1:11">
      <c r="A429">
        <v>10502</v>
      </c>
      <c r="B429" s="1">
        <v>45801</v>
      </c>
      <c r="C429" t="s">
        <v>20</v>
      </c>
      <c r="D429" t="s">
        <v>21</v>
      </c>
      <c r="E429" t="s">
        <v>27</v>
      </c>
      <c r="F429" t="s">
        <v>22</v>
      </c>
      <c r="G429" t="s">
        <v>35</v>
      </c>
      <c r="H429">
        <v>1</v>
      </c>
      <c r="I429">
        <v>6806.08</v>
      </c>
      <c r="J429">
        <v>0</v>
      </c>
      <c r="K429">
        <v>6806.08</v>
      </c>
    </row>
    <row r="430" spans="1:11">
      <c r="A430">
        <v>10592</v>
      </c>
      <c r="B430" s="1">
        <v>45976</v>
      </c>
      <c r="C430" t="s">
        <v>38</v>
      </c>
      <c r="D430" t="s">
        <v>12</v>
      </c>
      <c r="E430" t="s">
        <v>18</v>
      </c>
      <c r="F430" t="s">
        <v>28</v>
      </c>
      <c r="G430" t="s">
        <v>35</v>
      </c>
      <c r="H430">
        <v>3</v>
      </c>
      <c r="I430">
        <v>2271.73</v>
      </c>
      <c r="J430">
        <v>20</v>
      </c>
      <c r="K430">
        <v>6815.19</v>
      </c>
    </row>
    <row r="431" spans="1:11">
      <c r="A431">
        <v>10180</v>
      </c>
      <c r="B431" s="1">
        <v>45673</v>
      </c>
      <c r="C431" t="s">
        <v>23</v>
      </c>
      <c r="D431" t="s">
        <v>12</v>
      </c>
      <c r="E431" t="s">
        <v>24</v>
      </c>
      <c r="F431" t="s">
        <v>22</v>
      </c>
      <c r="G431" t="s">
        <v>35</v>
      </c>
      <c r="H431">
        <v>2</v>
      </c>
      <c r="I431">
        <v>3455.68</v>
      </c>
      <c r="J431">
        <v>5</v>
      </c>
      <c r="K431">
        <v>6911.36</v>
      </c>
    </row>
    <row r="432" spans="1:11">
      <c r="A432">
        <v>10515</v>
      </c>
      <c r="B432" s="1">
        <v>45861</v>
      </c>
      <c r="C432" t="s">
        <v>38</v>
      </c>
      <c r="D432" t="s">
        <v>12</v>
      </c>
      <c r="E432" t="s">
        <v>24</v>
      </c>
      <c r="F432" t="s">
        <v>28</v>
      </c>
      <c r="G432" t="s">
        <v>35</v>
      </c>
      <c r="H432">
        <v>3</v>
      </c>
      <c r="I432">
        <v>2313.13</v>
      </c>
      <c r="J432">
        <v>10</v>
      </c>
      <c r="K432">
        <v>6939.39</v>
      </c>
    </row>
    <row r="433" spans="1:11">
      <c r="A433">
        <v>10211</v>
      </c>
      <c r="B433" s="1">
        <v>45742</v>
      </c>
      <c r="C433" t="s">
        <v>38</v>
      </c>
      <c r="D433" t="s">
        <v>12</v>
      </c>
      <c r="E433" t="s">
        <v>27</v>
      </c>
      <c r="F433" t="s">
        <v>28</v>
      </c>
      <c r="G433" t="s">
        <v>19</v>
      </c>
      <c r="H433">
        <v>3</v>
      </c>
      <c r="I433">
        <v>2339.5500000000002</v>
      </c>
      <c r="J433">
        <v>0</v>
      </c>
      <c r="K433">
        <v>7018.65</v>
      </c>
    </row>
    <row r="434" spans="1:11">
      <c r="A434">
        <v>10163</v>
      </c>
      <c r="B434" s="1">
        <v>45671</v>
      </c>
      <c r="C434" t="s">
        <v>23</v>
      </c>
      <c r="D434" t="s">
        <v>12</v>
      </c>
      <c r="E434" t="s">
        <v>18</v>
      </c>
      <c r="F434" t="s">
        <v>28</v>
      </c>
      <c r="G434" t="s">
        <v>19</v>
      </c>
      <c r="H434">
        <v>2</v>
      </c>
      <c r="I434">
        <v>3530.09</v>
      </c>
      <c r="J434">
        <v>0</v>
      </c>
      <c r="K434">
        <v>7060.18</v>
      </c>
    </row>
    <row r="435" spans="1:11">
      <c r="A435">
        <v>10582</v>
      </c>
      <c r="B435" s="1">
        <v>45884</v>
      </c>
      <c r="C435" t="s">
        <v>38</v>
      </c>
      <c r="D435" t="s">
        <v>12</v>
      </c>
      <c r="E435" t="s">
        <v>18</v>
      </c>
      <c r="F435" t="s">
        <v>22</v>
      </c>
      <c r="G435" t="s">
        <v>35</v>
      </c>
      <c r="H435">
        <v>3</v>
      </c>
      <c r="I435">
        <v>2357.65</v>
      </c>
      <c r="J435">
        <v>10</v>
      </c>
      <c r="K435">
        <v>7072.95</v>
      </c>
    </row>
    <row r="436" spans="1:11">
      <c r="A436">
        <v>10351</v>
      </c>
      <c r="B436" s="1">
        <v>45852</v>
      </c>
      <c r="C436" t="s">
        <v>23</v>
      </c>
      <c r="D436" t="s">
        <v>12</v>
      </c>
      <c r="E436" t="s">
        <v>24</v>
      </c>
      <c r="F436" t="s">
        <v>33</v>
      </c>
      <c r="G436" t="s">
        <v>19</v>
      </c>
      <c r="H436">
        <v>2</v>
      </c>
      <c r="I436">
        <v>3573.57</v>
      </c>
      <c r="J436">
        <v>0</v>
      </c>
      <c r="K436">
        <v>7147.14</v>
      </c>
    </row>
    <row r="437" spans="1:11">
      <c r="A437">
        <v>10084</v>
      </c>
      <c r="B437" s="1">
        <v>45716</v>
      </c>
      <c r="C437" t="s">
        <v>23</v>
      </c>
      <c r="D437" t="s">
        <v>12</v>
      </c>
      <c r="E437" t="s">
        <v>18</v>
      </c>
      <c r="F437" t="s">
        <v>31</v>
      </c>
      <c r="G437" t="s">
        <v>35</v>
      </c>
      <c r="H437">
        <v>2</v>
      </c>
      <c r="I437">
        <v>3592.39</v>
      </c>
      <c r="J437">
        <v>0</v>
      </c>
      <c r="K437">
        <v>7184.78</v>
      </c>
    </row>
    <row r="438" spans="1:11">
      <c r="A438">
        <v>10065</v>
      </c>
      <c r="B438" s="1">
        <v>45744</v>
      </c>
      <c r="C438" t="s">
        <v>25</v>
      </c>
      <c r="D438" t="s">
        <v>26</v>
      </c>
      <c r="E438" t="s">
        <v>24</v>
      </c>
      <c r="F438" t="s">
        <v>30</v>
      </c>
      <c r="G438" t="s">
        <v>35</v>
      </c>
      <c r="H438">
        <v>3</v>
      </c>
      <c r="I438">
        <v>2397.39</v>
      </c>
      <c r="J438">
        <v>20</v>
      </c>
      <c r="K438">
        <v>7192.17</v>
      </c>
    </row>
    <row r="439" spans="1:11">
      <c r="A439">
        <v>10039</v>
      </c>
      <c r="B439" s="1">
        <v>45699</v>
      </c>
      <c r="C439" t="s">
        <v>38</v>
      </c>
      <c r="D439" t="s">
        <v>12</v>
      </c>
      <c r="E439" t="s">
        <v>27</v>
      </c>
      <c r="F439" t="s">
        <v>22</v>
      </c>
      <c r="G439" t="s">
        <v>35</v>
      </c>
      <c r="H439">
        <v>3</v>
      </c>
      <c r="I439">
        <v>2398.94</v>
      </c>
      <c r="J439">
        <v>0</v>
      </c>
      <c r="K439">
        <v>7196.82</v>
      </c>
    </row>
    <row r="440" spans="1:11">
      <c r="A440">
        <v>10469</v>
      </c>
      <c r="B440" s="1">
        <v>46018</v>
      </c>
      <c r="C440" t="s">
        <v>38</v>
      </c>
      <c r="D440" t="s">
        <v>12</v>
      </c>
      <c r="E440" t="s">
        <v>18</v>
      </c>
      <c r="F440" t="s">
        <v>28</v>
      </c>
      <c r="G440" t="s">
        <v>35</v>
      </c>
      <c r="H440">
        <v>3</v>
      </c>
      <c r="I440">
        <v>2404.88</v>
      </c>
      <c r="J440">
        <v>0</v>
      </c>
      <c r="K440">
        <v>7214.64</v>
      </c>
    </row>
    <row r="441" spans="1:11">
      <c r="A441">
        <v>10394</v>
      </c>
      <c r="B441" s="1">
        <v>45877</v>
      </c>
      <c r="C441" t="s">
        <v>23</v>
      </c>
      <c r="D441" t="s">
        <v>12</v>
      </c>
      <c r="E441" t="s">
        <v>18</v>
      </c>
      <c r="F441" t="s">
        <v>33</v>
      </c>
      <c r="G441" t="s">
        <v>15</v>
      </c>
      <c r="H441">
        <v>2</v>
      </c>
      <c r="I441">
        <v>3608.7</v>
      </c>
      <c r="J441">
        <v>20</v>
      </c>
      <c r="K441">
        <v>7217.4</v>
      </c>
    </row>
    <row r="442" spans="1:11">
      <c r="A442">
        <v>10259</v>
      </c>
      <c r="B442" s="1">
        <v>45731</v>
      </c>
      <c r="C442" t="s">
        <v>38</v>
      </c>
      <c r="D442" t="s">
        <v>12</v>
      </c>
      <c r="E442" t="s">
        <v>13</v>
      </c>
      <c r="F442" t="s">
        <v>22</v>
      </c>
      <c r="G442" t="s">
        <v>19</v>
      </c>
      <c r="H442">
        <v>3</v>
      </c>
      <c r="I442">
        <v>2408.29</v>
      </c>
      <c r="J442">
        <v>0</v>
      </c>
      <c r="K442">
        <v>7224.87</v>
      </c>
    </row>
    <row r="443" spans="1:11">
      <c r="A443">
        <v>10625</v>
      </c>
      <c r="B443" s="1">
        <v>45823</v>
      </c>
      <c r="C443" t="s">
        <v>23</v>
      </c>
      <c r="D443" t="s">
        <v>12</v>
      </c>
      <c r="E443" t="s">
        <v>24</v>
      </c>
      <c r="F443" t="s">
        <v>22</v>
      </c>
      <c r="G443" t="s">
        <v>35</v>
      </c>
      <c r="H443">
        <v>2</v>
      </c>
      <c r="I443">
        <v>3616.17</v>
      </c>
      <c r="J443">
        <v>0</v>
      </c>
      <c r="K443">
        <v>7232.34</v>
      </c>
    </row>
    <row r="444" spans="1:11">
      <c r="A444">
        <v>10073</v>
      </c>
      <c r="B444" s="1">
        <v>45697</v>
      </c>
      <c r="C444" t="s">
        <v>25</v>
      </c>
      <c r="D444" t="s">
        <v>26</v>
      </c>
      <c r="E444" t="s">
        <v>13</v>
      </c>
      <c r="F444" t="s">
        <v>14</v>
      </c>
      <c r="G444" t="s">
        <v>19</v>
      </c>
      <c r="H444">
        <v>3</v>
      </c>
      <c r="I444">
        <v>2453.9499999999998</v>
      </c>
      <c r="J444">
        <v>10</v>
      </c>
      <c r="K444">
        <v>7361.85</v>
      </c>
    </row>
    <row r="445" spans="1:11">
      <c r="A445">
        <v>10563</v>
      </c>
      <c r="B445" s="1">
        <v>45827</v>
      </c>
      <c r="C445" t="s">
        <v>25</v>
      </c>
      <c r="D445" t="s">
        <v>26</v>
      </c>
      <c r="E445" t="s">
        <v>27</v>
      </c>
      <c r="F445" t="s">
        <v>22</v>
      </c>
      <c r="G445" t="s">
        <v>35</v>
      </c>
      <c r="H445">
        <v>3</v>
      </c>
      <c r="I445">
        <v>2552.96</v>
      </c>
      <c r="J445">
        <v>0</v>
      </c>
      <c r="K445">
        <v>7658.88</v>
      </c>
    </row>
    <row r="446" spans="1:11">
      <c r="A446">
        <v>10270</v>
      </c>
      <c r="B446" s="1">
        <v>45728</v>
      </c>
      <c r="C446" t="s">
        <v>34</v>
      </c>
      <c r="D446" t="s">
        <v>12</v>
      </c>
      <c r="E446" t="s">
        <v>13</v>
      </c>
      <c r="F446" t="s">
        <v>31</v>
      </c>
      <c r="G446" t="s">
        <v>35</v>
      </c>
      <c r="H446">
        <v>10</v>
      </c>
      <c r="I446">
        <v>770.95</v>
      </c>
      <c r="J446">
        <v>10</v>
      </c>
      <c r="K446">
        <v>7709.5</v>
      </c>
    </row>
    <row r="447" spans="1:11">
      <c r="A447">
        <v>10030</v>
      </c>
      <c r="B447" s="1">
        <v>45685</v>
      </c>
      <c r="C447" t="s">
        <v>25</v>
      </c>
      <c r="D447" t="s">
        <v>26</v>
      </c>
      <c r="E447" t="s">
        <v>24</v>
      </c>
      <c r="F447" t="s">
        <v>28</v>
      </c>
      <c r="G447" t="s">
        <v>19</v>
      </c>
      <c r="H447">
        <v>3</v>
      </c>
      <c r="I447">
        <v>2574.12</v>
      </c>
      <c r="J447">
        <v>0</v>
      </c>
      <c r="K447">
        <v>7722.36</v>
      </c>
    </row>
    <row r="448" spans="1:11">
      <c r="A448">
        <v>10446</v>
      </c>
      <c r="B448" s="1">
        <v>45896</v>
      </c>
      <c r="C448" t="s">
        <v>25</v>
      </c>
      <c r="D448" t="s">
        <v>26</v>
      </c>
      <c r="E448" t="s">
        <v>13</v>
      </c>
      <c r="F448" t="s">
        <v>31</v>
      </c>
      <c r="G448" t="s">
        <v>15</v>
      </c>
      <c r="H448">
        <v>3</v>
      </c>
      <c r="I448">
        <v>2615.11</v>
      </c>
      <c r="J448">
        <v>0</v>
      </c>
      <c r="K448">
        <v>7845.33</v>
      </c>
    </row>
    <row r="449" spans="1:11">
      <c r="A449">
        <v>10288</v>
      </c>
      <c r="B449" s="1">
        <v>45939</v>
      </c>
      <c r="C449" t="s">
        <v>34</v>
      </c>
      <c r="D449" t="s">
        <v>12</v>
      </c>
      <c r="E449" t="s">
        <v>18</v>
      </c>
      <c r="F449" t="s">
        <v>31</v>
      </c>
      <c r="G449" t="s">
        <v>35</v>
      </c>
      <c r="H449">
        <v>10</v>
      </c>
      <c r="I449">
        <v>797.2</v>
      </c>
      <c r="J449">
        <v>0</v>
      </c>
      <c r="K449">
        <v>7972</v>
      </c>
    </row>
    <row r="450" spans="1:11">
      <c r="A450">
        <v>10033</v>
      </c>
      <c r="B450" s="1">
        <v>45705</v>
      </c>
      <c r="C450" t="s">
        <v>34</v>
      </c>
      <c r="D450" t="s">
        <v>12</v>
      </c>
      <c r="E450" t="s">
        <v>18</v>
      </c>
      <c r="F450" t="s">
        <v>14</v>
      </c>
      <c r="G450" t="s">
        <v>19</v>
      </c>
      <c r="H450">
        <v>10</v>
      </c>
      <c r="I450">
        <v>797.51</v>
      </c>
      <c r="J450">
        <v>20</v>
      </c>
      <c r="K450">
        <v>7975.1</v>
      </c>
    </row>
    <row r="451" spans="1:11">
      <c r="A451">
        <v>10618</v>
      </c>
      <c r="B451" s="1">
        <v>45940</v>
      </c>
      <c r="C451" t="s">
        <v>34</v>
      </c>
      <c r="D451" t="s">
        <v>12</v>
      </c>
      <c r="E451" t="s">
        <v>13</v>
      </c>
      <c r="F451" t="s">
        <v>33</v>
      </c>
      <c r="G451" t="s">
        <v>35</v>
      </c>
      <c r="H451">
        <v>10</v>
      </c>
      <c r="I451">
        <v>811.3</v>
      </c>
      <c r="J451">
        <v>0</v>
      </c>
      <c r="K451">
        <v>8113</v>
      </c>
    </row>
    <row r="452" spans="1:11">
      <c r="A452">
        <v>10548</v>
      </c>
      <c r="B452" s="1">
        <v>45728</v>
      </c>
      <c r="C452" t="s">
        <v>34</v>
      </c>
      <c r="D452" t="s">
        <v>12</v>
      </c>
      <c r="E452" t="s">
        <v>18</v>
      </c>
      <c r="F452" t="s">
        <v>30</v>
      </c>
      <c r="G452" t="s">
        <v>19</v>
      </c>
      <c r="H452">
        <v>10</v>
      </c>
      <c r="I452">
        <v>835.36</v>
      </c>
      <c r="J452">
        <v>0</v>
      </c>
      <c r="K452">
        <v>8353.6</v>
      </c>
    </row>
    <row r="453" spans="1:11">
      <c r="A453">
        <v>10380</v>
      </c>
      <c r="B453" s="1">
        <v>45753</v>
      </c>
      <c r="C453" t="s">
        <v>29</v>
      </c>
      <c r="D453" t="s">
        <v>26</v>
      </c>
      <c r="E453" t="s">
        <v>13</v>
      </c>
      <c r="F453" t="s">
        <v>30</v>
      </c>
      <c r="G453" t="s">
        <v>15</v>
      </c>
      <c r="H453">
        <v>10</v>
      </c>
      <c r="I453">
        <v>864.29</v>
      </c>
      <c r="J453">
        <v>15</v>
      </c>
      <c r="K453">
        <v>8642.9</v>
      </c>
    </row>
    <row r="454" spans="1:11">
      <c r="A454">
        <v>10243</v>
      </c>
      <c r="B454" s="1">
        <v>45718</v>
      </c>
      <c r="C454" t="s">
        <v>29</v>
      </c>
      <c r="D454" t="s">
        <v>26</v>
      </c>
      <c r="E454" t="s">
        <v>13</v>
      </c>
      <c r="F454" t="s">
        <v>30</v>
      </c>
      <c r="G454" t="s">
        <v>35</v>
      </c>
      <c r="H454">
        <v>10</v>
      </c>
      <c r="I454">
        <v>873.34</v>
      </c>
      <c r="J454">
        <v>10</v>
      </c>
      <c r="K454">
        <v>8733.4</v>
      </c>
    </row>
    <row r="455" spans="1:11">
      <c r="A455">
        <v>10099</v>
      </c>
      <c r="B455" s="1">
        <v>46011</v>
      </c>
      <c r="C455" t="s">
        <v>29</v>
      </c>
      <c r="D455" t="s">
        <v>26</v>
      </c>
      <c r="E455" t="s">
        <v>18</v>
      </c>
      <c r="F455" t="s">
        <v>14</v>
      </c>
      <c r="G455" t="s">
        <v>15</v>
      </c>
      <c r="H455">
        <v>10</v>
      </c>
      <c r="I455">
        <v>878.91</v>
      </c>
      <c r="J455">
        <v>10</v>
      </c>
      <c r="K455">
        <v>8789.1</v>
      </c>
    </row>
    <row r="456" spans="1:11">
      <c r="A456">
        <v>10557</v>
      </c>
      <c r="B456" s="1">
        <v>45898</v>
      </c>
      <c r="C456" t="s">
        <v>29</v>
      </c>
      <c r="D456" t="s">
        <v>26</v>
      </c>
      <c r="E456" t="s">
        <v>27</v>
      </c>
      <c r="F456" t="s">
        <v>14</v>
      </c>
      <c r="G456" t="s">
        <v>15</v>
      </c>
      <c r="H456">
        <v>10</v>
      </c>
      <c r="I456">
        <v>882.87</v>
      </c>
      <c r="J456">
        <v>0</v>
      </c>
      <c r="K456">
        <v>8828.7000000000007</v>
      </c>
    </row>
    <row r="457" spans="1:11">
      <c r="A457">
        <v>10059</v>
      </c>
      <c r="B457" s="1">
        <v>45855</v>
      </c>
      <c r="C457" t="s">
        <v>36</v>
      </c>
      <c r="D457" t="s">
        <v>12</v>
      </c>
      <c r="E457" t="s">
        <v>18</v>
      </c>
      <c r="F457" t="s">
        <v>30</v>
      </c>
      <c r="G457" t="s">
        <v>15</v>
      </c>
      <c r="H457">
        <v>5</v>
      </c>
      <c r="I457">
        <v>1804.37</v>
      </c>
      <c r="J457">
        <v>20</v>
      </c>
      <c r="K457">
        <v>9021.85</v>
      </c>
    </row>
    <row r="458" spans="1:11">
      <c r="A458">
        <v>10459</v>
      </c>
      <c r="B458" s="1">
        <v>45667</v>
      </c>
      <c r="C458" t="s">
        <v>29</v>
      </c>
      <c r="D458" t="s">
        <v>26</v>
      </c>
      <c r="E458" t="s">
        <v>27</v>
      </c>
      <c r="F458" t="s">
        <v>22</v>
      </c>
      <c r="G458" t="s">
        <v>19</v>
      </c>
      <c r="H458">
        <v>10</v>
      </c>
      <c r="I458">
        <v>903</v>
      </c>
      <c r="J458">
        <v>5</v>
      </c>
      <c r="K458">
        <v>9030</v>
      </c>
    </row>
    <row r="459" spans="1:11">
      <c r="A459">
        <v>10277</v>
      </c>
      <c r="B459" s="1">
        <v>45755</v>
      </c>
      <c r="C459" t="s">
        <v>36</v>
      </c>
      <c r="D459" t="s">
        <v>12</v>
      </c>
      <c r="E459" t="s">
        <v>24</v>
      </c>
      <c r="F459" t="s">
        <v>31</v>
      </c>
      <c r="G459" t="s">
        <v>19</v>
      </c>
      <c r="H459">
        <v>5</v>
      </c>
      <c r="I459">
        <v>1832.81</v>
      </c>
      <c r="J459">
        <v>15</v>
      </c>
      <c r="K459">
        <v>9164.0499999999993</v>
      </c>
    </row>
    <row r="460" spans="1:11">
      <c r="A460">
        <v>10374</v>
      </c>
      <c r="B460" s="1">
        <v>45905</v>
      </c>
      <c r="C460" t="s">
        <v>29</v>
      </c>
      <c r="D460" t="s">
        <v>26</v>
      </c>
      <c r="E460" t="s">
        <v>13</v>
      </c>
      <c r="F460" t="s">
        <v>31</v>
      </c>
      <c r="G460" t="s">
        <v>15</v>
      </c>
      <c r="H460">
        <v>10</v>
      </c>
      <c r="I460">
        <v>918.96</v>
      </c>
      <c r="J460">
        <v>5</v>
      </c>
      <c r="K460">
        <v>9189.6</v>
      </c>
    </row>
    <row r="461" spans="1:11">
      <c r="A461">
        <v>10189</v>
      </c>
      <c r="B461" s="1">
        <v>45818</v>
      </c>
      <c r="C461" t="s">
        <v>36</v>
      </c>
      <c r="D461" t="s">
        <v>12</v>
      </c>
      <c r="E461" t="s">
        <v>27</v>
      </c>
      <c r="F461" t="s">
        <v>33</v>
      </c>
      <c r="G461" t="s">
        <v>19</v>
      </c>
      <c r="H461">
        <v>5</v>
      </c>
      <c r="I461">
        <v>1859.03</v>
      </c>
      <c r="J461">
        <v>5</v>
      </c>
      <c r="K461">
        <v>9295.15</v>
      </c>
    </row>
    <row r="462" spans="1:11">
      <c r="A462">
        <v>10092</v>
      </c>
      <c r="B462" s="1">
        <v>45800</v>
      </c>
      <c r="C462" t="s">
        <v>36</v>
      </c>
      <c r="D462" t="s">
        <v>12</v>
      </c>
      <c r="E462" t="s">
        <v>27</v>
      </c>
      <c r="F462" t="s">
        <v>14</v>
      </c>
      <c r="G462" t="s">
        <v>19</v>
      </c>
      <c r="H462">
        <v>5</v>
      </c>
      <c r="I462">
        <v>1867.93</v>
      </c>
      <c r="J462">
        <v>5</v>
      </c>
      <c r="K462">
        <v>9339.65</v>
      </c>
    </row>
    <row r="463" spans="1:11">
      <c r="A463">
        <v>10627</v>
      </c>
      <c r="B463" s="1">
        <v>45922</v>
      </c>
      <c r="C463" t="s">
        <v>36</v>
      </c>
      <c r="D463" t="s">
        <v>12</v>
      </c>
      <c r="E463" t="s">
        <v>13</v>
      </c>
      <c r="F463" t="s">
        <v>31</v>
      </c>
      <c r="G463" t="s">
        <v>15</v>
      </c>
      <c r="H463">
        <v>5</v>
      </c>
      <c r="I463">
        <v>1871.07</v>
      </c>
      <c r="J463">
        <v>20</v>
      </c>
      <c r="K463">
        <v>9355.35</v>
      </c>
    </row>
    <row r="464" spans="1:11">
      <c r="A464">
        <v>10341</v>
      </c>
      <c r="B464" s="1">
        <v>45992</v>
      </c>
      <c r="C464" t="s">
        <v>36</v>
      </c>
      <c r="D464" t="s">
        <v>12</v>
      </c>
      <c r="E464" t="s">
        <v>24</v>
      </c>
      <c r="F464" t="s">
        <v>28</v>
      </c>
      <c r="G464" t="s">
        <v>19</v>
      </c>
      <c r="H464">
        <v>5</v>
      </c>
      <c r="I464">
        <v>1875.67</v>
      </c>
      <c r="J464">
        <v>5</v>
      </c>
      <c r="K464">
        <v>9378.35</v>
      </c>
    </row>
    <row r="465" spans="1:11">
      <c r="A465">
        <v>10599</v>
      </c>
      <c r="B465" s="1">
        <v>45952</v>
      </c>
      <c r="C465" t="s">
        <v>36</v>
      </c>
      <c r="D465" t="s">
        <v>12</v>
      </c>
      <c r="E465" t="s">
        <v>18</v>
      </c>
      <c r="F465" t="s">
        <v>30</v>
      </c>
      <c r="G465" t="s">
        <v>19</v>
      </c>
      <c r="H465">
        <v>5</v>
      </c>
      <c r="I465">
        <v>1889.72</v>
      </c>
      <c r="J465">
        <v>5</v>
      </c>
      <c r="K465">
        <v>9448.6</v>
      </c>
    </row>
    <row r="466" spans="1:11">
      <c r="A466">
        <v>10056</v>
      </c>
      <c r="B466" s="1">
        <v>45800</v>
      </c>
      <c r="C466" t="s">
        <v>36</v>
      </c>
      <c r="D466" t="s">
        <v>12</v>
      </c>
      <c r="E466" t="s">
        <v>13</v>
      </c>
      <c r="F466" t="s">
        <v>22</v>
      </c>
      <c r="G466" t="s">
        <v>35</v>
      </c>
      <c r="H466">
        <v>5</v>
      </c>
      <c r="I466">
        <v>1933.09</v>
      </c>
      <c r="J466">
        <v>20</v>
      </c>
      <c r="K466">
        <v>9665.4500000000007</v>
      </c>
    </row>
    <row r="467" spans="1:11">
      <c r="A467">
        <v>10150</v>
      </c>
      <c r="B467" s="1">
        <v>45730</v>
      </c>
      <c r="C467" t="s">
        <v>36</v>
      </c>
      <c r="D467" t="s">
        <v>12</v>
      </c>
      <c r="E467" t="s">
        <v>18</v>
      </c>
      <c r="F467" t="s">
        <v>22</v>
      </c>
      <c r="G467" t="s">
        <v>35</v>
      </c>
      <c r="H467">
        <v>5</v>
      </c>
      <c r="I467">
        <v>1987.73</v>
      </c>
      <c r="J467">
        <v>20</v>
      </c>
      <c r="K467">
        <v>9938.65</v>
      </c>
    </row>
    <row r="468" spans="1:11">
      <c r="A468">
        <v>10250</v>
      </c>
      <c r="B468" s="1">
        <v>45695</v>
      </c>
      <c r="C468" t="s">
        <v>23</v>
      </c>
      <c r="D468" t="s">
        <v>12</v>
      </c>
      <c r="E468" t="s">
        <v>27</v>
      </c>
      <c r="F468" t="s">
        <v>31</v>
      </c>
      <c r="G468" t="s">
        <v>35</v>
      </c>
      <c r="H468">
        <v>3</v>
      </c>
      <c r="I468">
        <v>3368.95</v>
      </c>
      <c r="J468">
        <v>20</v>
      </c>
      <c r="K468">
        <v>10106.85</v>
      </c>
    </row>
    <row r="469" spans="1:11">
      <c r="A469">
        <v>10294</v>
      </c>
      <c r="B469" s="1">
        <v>45789</v>
      </c>
      <c r="C469" t="s">
        <v>23</v>
      </c>
      <c r="D469" t="s">
        <v>12</v>
      </c>
      <c r="E469" t="s">
        <v>18</v>
      </c>
      <c r="F469" t="s">
        <v>28</v>
      </c>
      <c r="G469" t="s">
        <v>35</v>
      </c>
      <c r="H469">
        <v>3</v>
      </c>
      <c r="I469">
        <v>3600.74</v>
      </c>
      <c r="J469">
        <v>10</v>
      </c>
      <c r="K469">
        <v>10802.22</v>
      </c>
    </row>
    <row r="470" spans="1:11">
      <c r="A470">
        <v>10612</v>
      </c>
      <c r="B470" s="1">
        <v>45814</v>
      </c>
      <c r="C470" t="s">
        <v>23</v>
      </c>
      <c r="D470" t="s">
        <v>12</v>
      </c>
      <c r="E470" t="s">
        <v>18</v>
      </c>
      <c r="F470" t="s">
        <v>33</v>
      </c>
      <c r="G470" t="s">
        <v>35</v>
      </c>
      <c r="H470">
        <v>3</v>
      </c>
      <c r="I470">
        <v>3606.66</v>
      </c>
      <c r="J470">
        <v>5</v>
      </c>
      <c r="K470">
        <v>10819.98</v>
      </c>
    </row>
    <row r="471" spans="1:11">
      <c r="A471">
        <v>10131</v>
      </c>
      <c r="B471" s="1">
        <v>45735</v>
      </c>
      <c r="C471" t="s">
        <v>23</v>
      </c>
      <c r="D471" t="s">
        <v>12</v>
      </c>
      <c r="E471" t="s">
        <v>27</v>
      </c>
      <c r="F471" t="s">
        <v>28</v>
      </c>
      <c r="G471" t="s">
        <v>15</v>
      </c>
      <c r="H471">
        <v>3</v>
      </c>
      <c r="I471">
        <v>3628.36</v>
      </c>
      <c r="J471">
        <v>20</v>
      </c>
      <c r="K471">
        <v>10885.08</v>
      </c>
    </row>
    <row r="472" spans="1:11">
      <c r="A472">
        <v>10626</v>
      </c>
      <c r="B472" s="1">
        <v>45936</v>
      </c>
      <c r="C472" t="s">
        <v>38</v>
      </c>
      <c r="D472" t="s">
        <v>12</v>
      </c>
      <c r="E472" t="s">
        <v>18</v>
      </c>
      <c r="F472" t="s">
        <v>31</v>
      </c>
      <c r="G472" t="s">
        <v>35</v>
      </c>
      <c r="H472">
        <v>5</v>
      </c>
      <c r="I472">
        <v>2268.0300000000002</v>
      </c>
      <c r="J472">
        <v>15</v>
      </c>
      <c r="K472">
        <v>11340.15</v>
      </c>
    </row>
    <row r="473" spans="1:11">
      <c r="A473">
        <v>10531</v>
      </c>
      <c r="B473" s="1">
        <v>45849</v>
      </c>
      <c r="C473" t="s">
        <v>37</v>
      </c>
      <c r="D473" t="s">
        <v>21</v>
      </c>
      <c r="E473" t="s">
        <v>24</v>
      </c>
      <c r="F473" t="s">
        <v>30</v>
      </c>
      <c r="G473" t="s">
        <v>35</v>
      </c>
      <c r="H473">
        <v>2</v>
      </c>
      <c r="I473">
        <v>5709.8</v>
      </c>
      <c r="J473">
        <v>0</v>
      </c>
      <c r="K473">
        <v>11419.6</v>
      </c>
    </row>
    <row r="474" spans="1:11">
      <c r="A474">
        <v>10276</v>
      </c>
      <c r="B474" s="1">
        <v>45975</v>
      </c>
      <c r="C474" t="s">
        <v>37</v>
      </c>
      <c r="D474" t="s">
        <v>21</v>
      </c>
      <c r="E474" t="s">
        <v>27</v>
      </c>
      <c r="F474" t="s">
        <v>14</v>
      </c>
      <c r="G474" t="s">
        <v>35</v>
      </c>
      <c r="H474">
        <v>2</v>
      </c>
      <c r="I474">
        <v>5717.99</v>
      </c>
      <c r="J474">
        <v>15</v>
      </c>
      <c r="K474">
        <v>11435.98</v>
      </c>
    </row>
    <row r="475" spans="1:11">
      <c r="A475">
        <v>10484</v>
      </c>
      <c r="B475" s="1">
        <v>45934</v>
      </c>
      <c r="C475" t="s">
        <v>37</v>
      </c>
      <c r="D475" t="s">
        <v>21</v>
      </c>
      <c r="E475" t="s">
        <v>13</v>
      </c>
      <c r="F475" t="s">
        <v>22</v>
      </c>
      <c r="G475" t="s">
        <v>19</v>
      </c>
      <c r="H475">
        <v>2</v>
      </c>
      <c r="I475">
        <v>5841.56</v>
      </c>
      <c r="J475">
        <v>0</v>
      </c>
      <c r="K475">
        <v>11683.12</v>
      </c>
    </row>
    <row r="476" spans="1:11">
      <c r="A476">
        <v>10282</v>
      </c>
      <c r="B476" s="1">
        <v>45908</v>
      </c>
      <c r="C476" t="s">
        <v>37</v>
      </c>
      <c r="D476" t="s">
        <v>21</v>
      </c>
      <c r="E476" t="s">
        <v>13</v>
      </c>
      <c r="F476" t="s">
        <v>31</v>
      </c>
      <c r="G476" t="s">
        <v>19</v>
      </c>
      <c r="H476">
        <v>2</v>
      </c>
      <c r="I476">
        <v>5871.69</v>
      </c>
      <c r="J476">
        <v>10</v>
      </c>
      <c r="K476">
        <v>11743.38</v>
      </c>
    </row>
    <row r="477" spans="1:11">
      <c r="A477">
        <v>10583</v>
      </c>
      <c r="B477" s="1">
        <v>45966</v>
      </c>
      <c r="C477" t="s">
        <v>37</v>
      </c>
      <c r="D477" t="s">
        <v>21</v>
      </c>
      <c r="E477" t="s">
        <v>18</v>
      </c>
      <c r="F477" t="s">
        <v>22</v>
      </c>
      <c r="G477" t="s">
        <v>15</v>
      </c>
      <c r="H477">
        <v>2</v>
      </c>
      <c r="I477">
        <v>5968.29</v>
      </c>
      <c r="J477">
        <v>15</v>
      </c>
      <c r="K477">
        <v>11936.58</v>
      </c>
    </row>
    <row r="478" spans="1:11">
      <c r="A478">
        <v>10642</v>
      </c>
      <c r="B478" s="1">
        <v>45952</v>
      </c>
      <c r="C478" t="s">
        <v>37</v>
      </c>
      <c r="D478" t="s">
        <v>21</v>
      </c>
      <c r="E478" t="s">
        <v>24</v>
      </c>
      <c r="F478" t="s">
        <v>31</v>
      </c>
      <c r="G478" t="s">
        <v>15</v>
      </c>
      <c r="H478">
        <v>2</v>
      </c>
      <c r="I478">
        <v>5985.29</v>
      </c>
      <c r="J478">
        <v>0</v>
      </c>
      <c r="K478">
        <v>11970.58</v>
      </c>
    </row>
    <row r="479" spans="1:11">
      <c r="A479">
        <v>10491</v>
      </c>
      <c r="B479" s="1">
        <v>45774</v>
      </c>
      <c r="C479" t="s">
        <v>38</v>
      </c>
      <c r="D479" t="s">
        <v>12</v>
      </c>
      <c r="E479" t="s">
        <v>24</v>
      </c>
      <c r="F479" t="s">
        <v>31</v>
      </c>
      <c r="G479" t="s">
        <v>35</v>
      </c>
      <c r="H479">
        <v>5</v>
      </c>
      <c r="I479">
        <v>2406.0500000000002</v>
      </c>
      <c r="J479">
        <v>15</v>
      </c>
      <c r="K479">
        <v>12030.25</v>
      </c>
    </row>
    <row r="480" spans="1:11">
      <c r="A480">
        <v>10350</v>
      </c>
      <c r="B480" s="1">
        <v>45774</v>
      </c>
      <c r="C480" t="s">
        <v>25</v>
      </c>
      <c r="D480" t="s">
        <v>26</v>
      </c>
      <c r="E480" t="s">
        <v>13</v>
      </c>
      <c r="F480" t="s">
        <v>33</v>
      </c>
      <c r="G480" t="s">
        <v>19</v>
      </c>
      <c r="H480">
        <v>5</v>
      </c>
      <c r="I480">
        <v>2420.4699999999998</v>
      </c>
      <c r="J480">
        <v>10</v>
      </c>
      <c r="K480">
        <v>12102.35</v>
      </c>
    </row>
    <row r="481" spans="1:11">
      <c r="A481">
        <v>10286</v>
      </c>
      <c r="B481" s="1">
        <v>45958</v>
      </c>
      <c r="C481" t="s">
        <v>37</v>
      </c>
      <c r="D481" t="s">
        <v>21</v>
      </c>
      <c r="E481" t="s">
        <v>18</v>
      </c>
      <c r="F481" t="s">
        <v>14</v>
      </c>
      <c r="G481" t="s">
        <v>15</v>
      </c>
      <c r="H481">
        <v>2</v>
      </c>
      <c r="I481">
        <v>6081.75</v>
      </c>
      <c r="J481">
        <v>0</v>
      </c>
      <c r="K481">
        <v>12163.5</v>
      </c>
    </row>
    <row r="482" spans="1:11">
      <c r="A482">
        <v>10520</v>
      </c>
      <c r="B482" s="1">
        <v>45950</v>
      </c>
      <c r="C482" t="s">
        <v>37</v>
      </c>
      <c r="D482" t="s">
        <v>21</v>
      </c>
      <c r="E482" t="s">
        <v>18</v>
      </c>
      <c r="F482" t="s">
        <v>30</v>
      </c>
      <c r="G482" t="s">
        <v>35</v>
      </c>
      <c r="H482">
        <v>2</v>
      </c>
      <c r="I482">
        <v>6110.77</v>
      </c>
      <c r="J482">
        <v>15</v>
      </c>
      <c r="K482">
        <v>12221.54</v>
      </c>
    </row>
    <row r="483" spans="1:11">
      <c r="A483">
        <v>10360</v>
      </c>
      <c r="B483" s="1">
        <v>45712</v>
      </c>
      <c r="C483" t="s">
        <v>25</v>
      </c>
      <c r="D483" t="s">
        <v>26</v>
      </c>
      <c r="E483" t="s">
        <v>18</v>
      </c>
      <c r="F483" t="s">
        <v>30</v>
      </c>
      <c r="G483" t="s">
        <v>15</v>
      </c>
      <c r="H483">
        <v>5</v>
      </c>
      <c r="I483">
        <v>2457.0700000000002</v>
      </c>
      <c r="J483">
        <v>10</v>
      </c>
      <c r="K483">
        <v>12285.35</v>
      </c>
    </row>
    <row r="484" spans="1:11">
      <c r="A484">
        <v>10284</v>
      </c>
      <c r="B484" s="1">
        <v>45698</v>
      </c>
      <c r="C484" t="s">
        <v>37</v>
      </c>
      <c r="D484" t="s">
        <v>21</v>
      </c>
      <c r="E484" t="s">
        <v>13</v>
      </c>
      <c r="F484" t="s">
        <v>31</v>
      </c>
      <c r="G484" t="s">
        <v>35</v>
      </c>
      <c r="H484">
        <v>2</v>
      </c>
      <c r="I484">
        <v>6147.38</v>
      </c>
      <c r="J484">
        <v>0</v>
      </c>
      <c r="K484">
        <v>12294.76</v>
      </c>
    </row>
    <row r="485" spans="1:11">
      <c r="A485">
        <v>10528</v>
      </c>
      <c r="B485" s="1">
        <v>45981</v>
      </c>
      <c r="C485" t="s">
        <v>39</v>
      </c>
      <c r="D485" t="s">
        <v>21</v>
      </c>
      <c r="E485" t="s">
        <v>18</v>
      </c>
      <c r="F485" t="s">
        <v>30</v>
      </c>
      <c r="G485" t="s">
        <v>35</v>
      </c>
      <c r="H485">
        <v>1</v>
      </c>
      <c r="I485">
        <v>12355.18</v>
      </c>
      <c r="J485">
        <v>0</v>
      </c>
      <c r="K485">
        <v>12355.18</v>
      </c>
    </row>
    <row r="486" spans="1:11">
      <c r="A486">
        <v>10585</v>
      </c>
      <c r="B486" s="1">
        <v>45942</v>
      </c>
      <c r="C486" t="s">
        <v>20</v>
      </c>
      <c r="D486" t="s">
        <v>21</v>
      </c>
      <c r="E486" t="s">
        <v>13</v>
      </c>
      <c r="F486" t="s">
        <v>14</v>
      </c>
      <c r="G486" t="s">
        <v>15</v>
      </c>
      <c r="H486">
        <v>2</v>
      </c>
      <c r="I486">
        <v>6177.72</v>
      </c>
      <c r="J486">
        <v>5</v>
      </c>
      <c r="K486">
        <v>12355.44</v>
      </c>
    </row>
    <row r="487" spans="1:11">
      <c r="A487">
        <v>10247</v>
      </c>
      <c r="B487" s="1">
        <v>45720</v>
      </c>
      <c r="C487" t="s">
        <v>32</v>
      </c>
      <c r="D487" t="s">
        <v>26</v>
      </c>
      <c r="E487" t="s">
        <v>18</v>
      </c>
      <c r="F487" t="s">
        <v>14</v>
      </c>
      <c r="G487" t="s">
        <v>15</v>
      </c>
      <c r="H487">
        <v>10</v>
      </c>
      <c r="I487">
        <v>1237.46</v>
      </c>
      <c r="J487">
        <v>10</v>
      </c>
      <c r="K487">
        <v>12374.6</v>
      </c>
    </row>
    <row r="488" spans="1:11">
      <c r="A488">
        <v>10375</v>
      </c>
      <c r="B488" s="1">
        <v>45692</v>
      </c>
      <c r="C488" t="s">
        <v>39</v>
      </c>
      <c r="D488" t="s">
        <v>21</v>
      </c>
      <c r="E488" t="s">
        <v>13</v>
      </c>
      <c r="F488" t="s">
        <v>28</v>
      </c>
      <c r="G488" t="s">
        <v>35</v>
      </c>
      <c r="H488">
        <v>1</v>
      </c>
      <c r="I488">
        <v>12378.41</v>
      </c>
      <c r="J488">
        <v>0</v>
      </c>
      <c r="K488">
        <v>12378.41</v>
      </c>
    </row>
    <row r="489" spans="1:11">
      <c r="A489">
        <v>10460</v>
      </c>
      <c r="B489" s="1">
        <v>45947</v>
      </c>
      <c r="C489" t="s">
        <v>39</v>
      </c>
      <c r="D489" t="s">
        <v>21</v>
      </c>
      <c r="E489" t="s">
        <v>13</v>
      </c>
      <c r="F489" t="s">
        <v>31</v>
      </c>
      <c r="G489" t="s">
        <v>19</v>
      </c>
      <c r="H489">
        <v>1</v>
      </c>
      <c r="I489">
        <v>12382.93</v>
      </c>
      <c r="J489">
        <v>10</v>
      </c>
      <c r="K489">
        <v>12382.93</v>
      </c>
    </row>
    <row r="490" spans="1:11">
      <c r="A490">
        <v>10560</v>
      </c>
      <c r="B490" s="1">
        <v>45718</v>
      </c>
      <c r="C490" t="s">
        <v>39</v>
      </c>
      <c r="D490" t="s">
        <v>21</v>
      </c>
      <c r="E490" t="s">
        <v>27</v>
      </c>
      <c r="F490" t="s">
        <v>22</v>
      </c>
      <c r="G490" t="s">
        <v>35</v>
      </c>
      <c r="H490">
        <v>1</v>
      </c>
      <c r="I490">
        <v>12482.48</v>
      </c>
      <c r="J490">
        <v>5</v>
      </c>
      <c r="K490">
        <v>12482.48</v>
      </c>
    </row>
    <row r="491" spans="1:11">
      <c r="A491">
        <v>10304</v>
      </c>
      <c r="B491" s="1">
        <v>45951</v>
      </c>
      <c r="C491" t="s">
        <v>32</v>
      </c>
      <c r="D491" t="s">
        <v>26</v>
      </c>
      <c r="E491" t="s">
        <v>18</v>
      </c>
      <c r="F491" t="s">
        <v>14</v>
      </c>
      <c r="G491" t="s">
        <v>19</v>
      </c>
      <c r="H491">
        <v>10</v>
      </c>
      <c r="I491">
        <v>1249.1500000000001</v>
      </c>
      <c r="J491">
        <v>0</v>
      </c>
      <c r="K491">
        <v>12491.5</v>
      </c>
    </row>
    <row r="492" spans="1:11">
      <c r="A492">
        <v>10217</v>
      </c>
      <c r="B492" s="1">
        <v>45836</v>
      </c>
      <c r="C492" t="s">
        <v>25</v>
      </c>
      <c r="D492" t="s">
        <v>26</v>
      </c>
      <c r="E492" t="s">
        <v>24</v>
      </c>
      <c r="F492" t="s">
        <v>31</v>
      </c>
      <c r="G492" t="s">
        <v>15</v>
      </c>
      <c r="H492">
        <v>5</v>
      </c>
      <c r="I492">
        <v>2499.5</v>
      </c>
      <c r="J492">
        <v>0</v>
      </c>
      <c r="K492">
        <v>12497.5</v>
      </c>
    </row>
    <row r="493" spans="1:11">
      <c r="A493">
        <v>10178</v>
      </c>
      <c r="B493" s="1">
        <v>45794</v>
      </c>
      <c r="C493" t="s">
        <v>37</v>
      </c>
      <c r="D493" t="s">
        <v>21</v>
      </c>
      <c r="E493" t="s">
        <v>24</v>
      </c>
      <c r="F493" t="s">
        <v>14</v>
      </c>
      <c r="G493" t="s">
        <v>19</v>
      </c>
      <c r="H493">
        <v>2</v>
      </c>
      <c r="I493">
        <v>6251.88</v>
      </c>
      <c r="J493">
        <v>0</v>
      </c>
      <c r="K493">
        <v>12503.76</v>
      </c>
    </row>
    <row r="494" spans="1:11">
      <c r="A494">
        <v>10253</v>
      </c>
      <c r="B494" s="1">
        <v>45698</v>
      </c>
      <c r="C494" t="s">
        <v>20</v>
      </c>
      <c r="D494" t="s">
        <v>21</v>
      </c>
      <c r="E494" t="s">
        <v>13</v>
      </c>
      <c r="F494" t="s">
        <v>14</v>
      </c>
      <c r="G494" t="s">
        <v>35</v>
      </c>
      <c r="H494">
        <v>2</v>
      </c>
      <c r="I494">
        <v>6255.4</v>
      </c>
      <c r="J494">
        <v>0</v>
      </c>
      <c r="K494">
        <v>12510.8</v>
      </c>
    </row>
    <row r="495" spans="1:11">
      <c r="A495">
        <v>10274</v>
      </c>
      <c r="B495" s="1">
        <v>45980</v>
      </c>
      <c r="C495" t="s">
        <v>37</v>
      </c>
      <c r="D495" t="s">
        <v>21</v>
      </c>
      <c r="E495" t="s">
        <v>24</v>
      </c>
      <c r="F495" t="s">
        <v>33</v>
      </c>
      <c r="G495" t="s">
        <v>19</v>
      </c>
      <c r="H495">
        <v>2</v>
      </c>
      <c r="I495">
        <v>6279.2</v>
      </c>
      <c r="J495">
        <v>20</v>
      </c>
      <c r="K495">
        <v>12558.4</v>
      </c>
    </row>
    <row r="496" spans="1:11">
      <c r="A496">
        <v>10381</v>
      </c>
      <c r="B496" s="1">
        <v>45928</v>
      </c>
      <c r="C496" t="s">
        <v>25</v>
      </c>
      <c r="D496" t="s">
        <v>26</v>
      </c>
      <c r="E496" t="s">
        <v>13</v>
      </c>
      <c r="F496" t="s">
        <v>33</v>
      </c>
      <c r="G496" t="s">
        <v>19</v>
      </c>
      <c r="H496">
        <v>5</v>
      </c>
      <c r="I496">
        <v>2520.7399999999998</v>
      </c>
      <c r="J496">
        <v>0</v>
      </c>
      <c r="K496">
        <v>12603.7</v>
      </c>
    </row>
    <row r="497" spans="1:11">
      <c r="A497">
        <v>10116</v>
      </c>
      <c r="B497" s="1">
        <v>45923</v>
      </c>
      <c r="C497" t="s">
        <v>25</v>
      </c>
      <c r="D497" t="s">
        <v>26</v>
      </c>
      <c r="E497" t="s">
        <v>27</v>
      </c>
      <c r="F497" t="s">
        <v>30</v>
      </c>
      <c r="G497" t="s">
        <v>15</v>
      </c>
      <c r="H497">
        <v>5</v>
      </c>
      <c r="I497">
        <v>2532.6799999999998</v>
      </c>
      <c r="J497">
        <v>5</v>
      </c>
      <c r="K497">
        <v>12663.4</v>
      </c>
    </row>
    <row r="498" spans="1:11">
      <c r="A498">
        <v>10647</v>
      </c>
      <c r="B498" s="1">
        <v>45869</v>
      </c>
      <c r="C498" t="s">
        <v>32</v>
      </c>
      <c r="D498" t="s">
        <v>26</v>
      </c>
      <c r="E498" t="s">
        <v>27</v>
      </c>
      <c r="F498" t="s">
        <v>14</v>
      </c>
      <c r="G498" t="s">
        <v>19</v>
      </c>
      <c r="H498">
        <v>10</v>
      </c>
      <c r="I498">
        <v>1267.02</v>
      </c>
      <c r="J498">
        <v>0</v>
      </c>
      <c r="K498">
        <v>12670.2</v>
      </c>
    </row>
    <row r="499" spans="1:11">
      <c r="A499">
        <v>10098</v>
      </c>
      <c r="B499" s="1">
        <v>45814</v>
      </c>
      <c r="C499" t="s">
        <v>20</v>
      </c>
      <c r="D499" t="s">
        <v>21</v>
      </c>
      <c r="E499" t="s">
        <v>13</v>
      </c>
      <c r="F499" t="s">
        <v>14</v>
      </c>
      <c r="G499" t="s">
        <v>15</v>
      </c>
      <c r="H499">
        <v>2</v>
      </c>
      <c r="I499">
        <v>6379.12</v>
      </c>
      <c r="J499">
        <v>15</v>
      </c>
      <c r="K499">
        <v>12758.24</v>
      </c>
    </row>
    <row r="500" spans="1:11">
      <c r="A500">
        <v>10519</v>
      </c>
      <c r="B500" s="1">
        <v>45809</v>
      </c>
      <c r="C500" t="s">
        <v>25</v>
      </c>
      <c r="D500" t="s">
        <v>26</v>
      </c>
      <c r="E500" t="s">
        <v>13</v>
      </c>
      <c r="F500" t="s">
        <v>31</v>
      </c>
      <c r="G500" t="s">
        <v>19</v>
      </c>
      <c r="H500">
        <v>5</v>
      </c>
      <c r="I500">
        <v>2558.16</v>
      </c>
      <c r="J500">
        <v>10</v>
      </c>
      <c r="K500">
        <v>12790.8</v>
      </c>
    </row>
    <row r="501" spans="1:11">
      <c r="A501">
        <v>10137</v>
      </c>
      <c r="B501" s="1">
        <v>45672</v>
      </c>
      <c r="C501" t="s">
        <v>20</v>
      </c>
      <c r="D501" t="s">
        <v>21</v>
      </c>
      <c r="E501" t="s">
        <v>24</v>
      </c>
      <c r="F501" t="s">
        <v>30</v>
      </c>
      <c r="G501" t="s">
        <v>15</v>
      </c>
      <c r="H501">
        <v>2</v>
      </c>
      <c r="I501">
        <v>6407.02</v>
      </c>
      <c r="J501">
        <v>5</v>
      </c>
      <c r="K501">
        <v>12814.04</v>
      </c>
    </row>
    <row r="502" spans="1:11">
      <c r="A502">
        <v>10628</v>
      </c>
      <c r="B502" s="1">
        <v>45907</v>
      </c>
      <c r="C502" t="s">
        <v>39</v>
      </c>
      <c r="D502" t="s">
        <v>21</v>
      </c>
      <c r="E502" t="s">
        <v>27</v>
      </c>
      <c r="F502" t="s">
        <v>33</v>
      </c>
      <c r="G502" t="s">
        <v>15</v>
      </c>
      <c r="H502">
        <v>1</v>
      </c>
      <c r="I502">
        <v>12920.87</v>
      </c>
      <c r="J502">
        <v>0</v>
      </c>
      <c r="K502">
        <v>12920.87</v>
      </c>
    </row>
    <row r="503" spans="1:11">
      <c r="A503">
        <v>10008</v>
      </c>
      <c r="B503" s="1">
        <v>45698</v>
      </c>
      <c r="C503" t="s">
        <v>20</v>
      </c>
      <c r="D503" t="s">
        <v>21</v>
      </c>
      <c r="E503" t="s">
        <v>18</v>
      </c>
      <c r="F503" t="s">
        <v>28</v>
      </c>
      <c r="G503" t="s">
        <v>19</v>
      </c>
      <c r="H503">
        <v>2</v>
      </c>
      <c r="I503">
        <v>6468.72</v>
      </c>
      <c r="J503">
        <v>20</v>
      </c>
      <c r="K503">
        <v>12937.44</v>
      </c>
    </row>
    <row r="504" spans="1:11">
      <c r="A504">
        <v>10524</v>
      </c>
      <c r="B504" s="1">
        <v>45873</v>
      </c>
      <c r="C504" t="s">
        <v>20</v>
      </c>
      <c r="D504" t="s">
        <v>21</v>
      </c>
      <c r="E504" t="s">
        <v>13</v>
      </c>
      <c r="F504" t="s">
        <v>30</v>
      </c>
      <c r="G504" t="s">
        <v>19</v>
      </c>
      <c r="H504">
        <v>2</v>
      </c>
      <c r="I504">
        <v>6475.45</v>
      </c>
      <c r="J504">
        <v>0</v>
      </c>
      <c r="K504">
        <v>12950.9</v>
      </c>
    </row>
    <row r="505" spans="1:11">
      <c r="A505">
        <v>10077</v>
      </c>
      <c r="B505" s="1">
        <v>45857</v>
      </c>
      <c r="C505" t="s">
        <v>20</v>
      </c>
      <c r="D505" t="s">
        <v>21</v>
      </c>
      <c r="E505" t="s">
        <v>27</v>
      </c>
      <c r="F505" t="s">
        <v>33</v>
      </c>
      <c r="G505" t="s">
        <v>35</v>
      </c>
      <c r="H505">
        <v>2</v>
      </c>
      <c r="I505">
        <v>6491.35</v>
      </c>
      <c r="J505">
        <v>0</v>
      </c>
      <c r="K505">
        <v>12982.7</v>
      </c>
    </row>
    <row r="506" spans="1:11">
      <c r="A506">
        <v>10434</v>
      </c>
      <c r="B506" s="1">
        <v>45796</v>
      </c>
      <c r="C506" t="s">
        <v>39</v>
      </c>
      <c r="D506" t="s">
        <v>21</v>
      </c>
      <c r="E506" t="s">
        <v>24</v>
      </c>
      <c r="F506" t="s">
        <v>33</v>
      </c>
      <c r="G506" t="s">
        <v>19</v>
      </c>
      <c r="H506">
        <v>1</v>
      </c>
      <c r="I506">
        <v>13001.65</v>
      </c>
      <c r="J506">
        <v>0</v>
      </c>
      <c r="K506">
        <v>13001.65</v>
      </c>
    </row>
    <row r="507" spans="1:11">
      <c r="A507">
        <v>10428</v>
      </c>
      <c r="B507" s="1">
        <v>45718</v>
      </c>
      <c r="C507" t="s">
        <v>20</v>
      </c>
      <c r="D507" t="s">
        <v>21</v>
      </c>
      <c r="E507" t="s">
        <v>24</v>
      </c>
      <c r="F507" t="s">
        <v>30</v>
      </c>
      <c r="G507" t="s">
        <v>19</v>
      </c>
      <c r="H507">
        <v>2</v>
      </c>
      <c r="I507">
        <v>6514.5</v>
      </c>
      <c r="J507">
        <v>0</v>
      </c>
      <c r="K507">
        <v>13029</v>
      </c>
    </row>
    <row r="508" spans="1:11">
      <c r="A508">
        <v>10307</v>
      </c>
      <c r="B508" s="1">
        <v>45669</v>
      </c>
      <c r="C508" t="s">
        <v>20</v>
      </c>
      <c r="D508" t="s">
        <v>21</v>
      </c>
      <c r="E508" t="s">
        <v>27</v>
      </c>
      <c r="F508" t="s">
        <v>30</v>
      </c>
      <c r="G508" t="s">
        <v>15</v>
      </c>
      <c r="H508">
        <v>2</v>
      </c>
      <c r="I508">
        <v>6549.89</v>
      </c>
      <c r="J508">
        <v>0</v>
      </c>
      <c r="K508">
        <v>13099.78</v>
      </c>
    </row>
    <row r="509" spans="1:11">
      <c r="A509">
        <v>10185</v>
      </c>
      <c r="B509" s="1">
        <v>45927</v>
      </c>
      <c r="C509" t="s">
        <v>25</v>
      </c>
      <c r="D509" t="s">
        <v>26</v>
      </c>
      <c r="E509" t="s">
        <v>13</v>
      </c>
      <c r="F509" t="s">
        <v>28</v>
      </c>
      <c r="G509" t="s">
        <v>15</v>
      </c>
      <c r="H509">
        <v>5</v>
      </c>
      <c r="I509">
        <v>2620.06</v>
      </c>
      <c r="J509">
        <v>0</v>
      </c>
      <c r="K509">
        <v>13100.3</v>
      </c>
    </row>
    <row r="510" spans="1:11">
      <c r="A510">
        <v>10595</v>
      </c>
      <c r="B510" s="1">
        <v>45921</v>
      </c>
      <c r="C510" t="s">
        <v>39</v>
      </c>
      <c r="D510" t="s">
        <v>21</v>
      </c>
      <c r="E510" t="s">
        <v>24</v>
      </c>
      <c r="F510" t="s">
        <v>28</v>
      </c>
      <c r="G510" t="s">
        <v>15</v>
      </c>
      <c r="H510">
        <v>1</v>
      </c>
      <c r="I510">
        <v>13164</v>
      </c>
      <c r="J510">
        <v>0</v>
      </c>
      <c r="K510">
        <v>13164</v>
      </c>
    </row>
    <row r="511" spans="1:11">
      <c r="A511">
        <v>10421</v>
      </c>
      <c r="B511" s="1">
        <v>45768</v>
      </c>
      <c r="C511" t="s">
        <v>20</v>
      </c>
      <c r="D511" t="s">
        <v>21</v>
      </c>
      <c r="E511" t="s">
        <v>24</v>
      </c>
      <c r="F511" t="s">
        <v>28</v>
      </c>
      <c r="G511" t="s">
        <v>19</v>
      </c>
      <c r="H511">
        <v>2</v>
      </c>
      <c r="I511">
        <v>6582.56</v>
      </c>
      <c r="J511">
        <v>10</v>
      </c>
      <c r="K511">
        <v>13165.12</v>
      </c>
    </row>
    <row r="512" spans="1:11">
      <c r="A512">
        <v>10418</v>
      </c>
      <c r="B512" s="1">
        <v>45911</v>
      </c>
      <c r="C512" t="s">
        <v>32</v>
      </c>
      <c r="D512" t="s">
        <v>26</v>
      </c>
      <c r="E512" t="s">
        <v>27</v>
      </c>
      <c r="F512" t="s">
        <v>28</v>
      </c>
      <c r="G512" t="s">
        <v>15</v>
      </c>
      <c r="H512">
        <v>10</v>
      </c>
      <c r="I512">
        <v>1316.94</v>
      </c>
      <c r="J512">
        <v>0</v>
      </c>
      <c r="K512">
        <v>13169.4</v>
      </c>
    </row>
    <row r="513" spans="1:11">
      <c r="A513">
        <v>10240</v>
      </c>
      <c r="B513" s="1">
        <v>45843</v>
      </c>
      <c r="C513" t="s">
        <v>39</v>
      </c>
      <c r="D513" t="s">
        <v>21</v>
      </c>
      <c r="E513" t="s">
        <v>27</v>
      </c>
      <c r="F513" t="s">
        <v>33</v>
      </c>
      <c r="G513" t="s">
        <v>15</v>
      </c>
      <c r="H513">
        <v>1</v>
      </c>
      <c r="I513">
        <v>13231.76</v>
      </c>
      <c r="J513">
        <v>0</v>
      </c>
      <c r="K513">
        <v>13231.76</v>
      </c>
    </row>
    <row r="514" spans="1:11">
      <c r="A514">
        <v>10227</v>
      </c>
      <c r="B514" s="1">
        <v>45666</v>
      </c>
      <c r="C514" t="s">
        <v>20</v>
      </c>
      <c r="D514" t="s">
        <v>21</v>
      </c>
      <c r="E514" t="s">
        <v>13</v>
      </c>
      <c r="F514" t="s">
        <v>28</v>
      </c>
      <c r="G514" t="s">
        <v>19</v>
      </c>
      <c r="H514">
        <v>2</v>
      </c>
      <c r="I514">
        <v>6650.39</v>
      </c>
      <c r="J514">
        <v>15</v>
      </c>
      <c r="K514">
        <v>13300.78</v>
      </c>
    </row>
    <row r="515" spans="1:11">
      <c r="A515">
        <v>10504</v>
      </c>
      <c r="B515" s="1">
        <v>45884</v>
      </c>
      <c r="C515" t="s">
        <v>32</v>
      </c>
      <c r="D515" t="s">
        <v>26</v>
      </c>
      <c r="E515" t="s">
        <v>18</v>
      </c>
      <c r="F515" t="s">
        <v>31</v>
      </c>
      <c r="G515" t="s">
        <v>35</v>
      </c>
      <c r="H515">
        <v>10</v>
      </c>
      <c r="I515">
        <v>1332.71</v>
      </c>
      <c r="J515">
        <v>20</v>
      </c>
      <c r="K515">
        <v>13327.1</v>
      </c>
    </row>
    <row r="516" spans="1:11">
      <c r="A516">
        <v>10578</v>
      </c>
      <c r="B516" s="1">
        <v>45732</v>
      </c>
      <c r="C516" t="s">
        <v>20</v>
      </c>
      <c r="D516" t="s">
        <v>21</v>
      </c>
      <c r="E516" t="s">
        <v>24</v>
      </c>
      <c r="F516" t="s">
        <v>22</v>
      </c>
      <c r="G516" t="s">
        <v>19</v>
      </c>
      <c r="H516">
        <v>2</v>
      </c>
      <c r="I516">
        <v>6663.81</v>
      </c>
      <c r="J516">
        <v>0</v>
      </c>
      <c r="K516">
        <v>13327.62</v>
      </c>
    </row>
    <row r="517" spans="1:11">
      <c r="A517">
        <v>10588</v>
      </c>
      <c r="B517" s="1">
        <v>45927</v>
      </c>
      <c r="C517" t="s">
        <v>39</v>
      </c>
      <c r="D517" t="s">
        <v>21</v>
      </c>
      <c r="E517" t="s">
        <v>18</v>
      </c>
      <c r="F517" t="s">
        <v>14</v>
      </c>
      <c r="G517" t="s">
        <v>35</v>
      </c>
      <c r="H517">
        <v>1</v>
      </c>
      <c r="I517">
        <v>13371.11</v>
      </c>
      <c r="J517">
        <v>0</v>
      </c>
      <c r="K517">
        <v>13371.11</v>
      </c>
    </row>
    <row r="518" spans="1:11">
      <c r="A518">
        <v>10598</v>
      </c>
      <c r="B518" s="1">
        <v>45677</v>
      </c>
      <c r="C518" t="s">
        <v>39</v>
      </c>
      <c r="D518" t="s">
        <v>21</v>
      </c>
      <c r="E518" t="s">
        <v>24</v>
      </c>
      <c r="F518" t="s">
        <v>28</v>
      </c>
      <c r="G518" t="s">
        <v>15</v>
      </c>
      <c r="H518">
        <v>1</v>
      </c>
      <c r="I518">
        <v>13381.45</v>
      </c>
      <c r="J518">
        <v>10</v>
      </c>
      <c r="K518">
        <v>13381.45</v>
      </c>
    </row>
    <row r="519" spans="1:11">
      <c r="A519">
        <v>10103</v>
      </c>
      <c r="B519" s="1">
        <v>45752</v>
      </c>
      <c r="C519" t="s">
        <v>39</v>
      </c>
      <c r="D519" t="s">
        <v>21</v>
      </c>
      <c r="E519" t="s">
        <v>24</v>
      </c>
      <c r="F519" t="s">
        <v>30</v>
      </c>
      <c r="G519" t="s">
        <v>19</v>
      </c>
      <c r="H519">
        <v>1</v>
      </c>
      <c r="I519">
        <v>13417.72</v>
      </c>
      <c r="J519">
        <v>5</v>
      </c>
      <c r="K519">
        <v>13417.72</v>
      </c>
    </row>
    <row r="520" spans="1:11">
      <c r="A520">
        <v>10019</v>
      </c>
      <c r="B520" s="1">
        <v>45914</v>
      </c>
      <c r="C520" t="s">
        <v>20</v>
      </c>
      <c r="D520" t="s">
        <v>21</v>
      </c>
      <c r="E520" t="s">
        <v>18</v>
      </c>
      <c r="F520" t="s">
        <v>33</v>
      </c>
      <c r="G520" t="s">
        <v>15</v>
      </c>
      <c r="H520">
        <v>2</v>
      </c>
      <c r="I520">
        <v>6721.05</v>
      </c>
      <c r="J520">
        <v>10</v>
      </c>
      <c r="K520">
        <v>13442.1</v>
      </c>
    </row>
    <row r="521" spans="1:11">
      <c r="A521">
        <v>10624</v>
      </c>
      <c r="B521" s="1">
        <v>45923</v>
      </c>
      <c r="C521" t="s">
        <v>32</v>
      </c>
      <c r="D521" t="s">
        <v>26</v>
      </c>
      <c r="E521" t="s">
        <v>13</v>
      </c>
      <c r="F521" t="s">
        <v>31</v>
      </c>
      <c r="G521" t="s">
        <v>19</v>
      </c>
      <c r="H521">
        <v>10</v>
      </c>
      <c r="I521">
        <v>1348.56</v>
      </c>
      <c r="J521">
        <v>0</v>
      </c>
      <c r="K521">
        <v>13485.6</v>
      </c>
    </row>
    <row r="522" spans="1:11">
      <c r="A522">
        <v>10454</v>
      </c>
      <c r="B522" s="1">
        <v>45720</v>
      </c>
      <c r="C522" t="s">
        <v>39</v>
      </c>
      <c r="D522" t="s">
        <v>21</v>
      </c>
      <c r="E522" t="s">
        <v>24</v>
      </c>
      <c r="F522" t="s">
        <v>31</v>
      </c>
      <c r="G522" t="s">
        <v>15</v>
      </c>
      <c r="H522">
        <v>1</v>
      </c>
      <c r="I522">
        <v>13550.33</v>
      </c>
      <c r="J522">
        <v>5</v>
      </c>
      <c r="K522">
        <v>13550.33</v>
      </c>
    </row>
    <row r="523" spans="1:11">
      <c r="A523">
        <v>10554</v>
      </c>
      <c r="B523" s="1">
        <v>45993</v>
      </c>
      <c r="C523" t="s">
        <v>20</v>
      </c>
      <c r="D523" t="s">
        <v>21</v>
      </c>
      <c r="E523" t="s">
        <v>13</v>
      </c>
      <c r="F523" t="s">
        <v>28</v>
      </c>
      <c r="G523" t="s">
        <v>35</v>
      </c>
      <c r="H523">
        <v>2</v>
      </c>
      <c r="I523">
        <v>6809.58</v>
      </c>
      <c r="J523">
        <v>15</v>
      </c>
      <c r="K523">
        <v>13619.16</v>
      </c>
    </row>
    <row r="524" spans="1:11">
      <c r="A524">
        <v>10296</v>
      </c>
      <c r="B524" s="1">
        <v>45702</v>
      </c>
      <c r="C524" t="s">
        <v>39</v>
      </c>
      <c r="D524" t="s">
        <v>21</v>
      </c>
      <c r="E524" t="s">
        <v>27</v>
      </c>
      <c r="F524" t="s">
        <v>22</v>
      </c>
      <c r="G524" t="s">
        <v>15</v>
      </c>
      <c r="H524">
        <v>1</v>
      </c>
      <c r="I524">
        <v>13625.14</v>
      </c>
      <c r="J524">
        <v>5</v>
      </c>
      <c r="K524">
        <v>13625.14</v>
      </c>
    </row>
    <row r="525" spans="1:11">
      <c r="A525">
        <v>10646</v>
      </c>
      <c r="B525" s="1">
        <v>45932</v>
      </c>
      <c r="C525" t="s">
        <v>20</v>
      </c>
      <c r="D525" t="s">
        <v>21</v>
      </c>
      <c r="E525" t="s">
        <v>27</v>
      </c>
      <c r="F525" t="s">
        <v>33</v>
      </c>
      <c r="G525" t="s">
        <v>19</v>
      </c>
      <c r="H525">
        <v>2</v>
      </c>
      <c r="I525">
        <v>6818.62</v>
      </c>
      <c r="J525">
        <v>5</v>
      </c>
      <c r="K525">
        <v>13637.24</v>
      </c>
    </row>
    <row r="526" spans="1:11">
      <c r="A526">
        <v>10205</v>
      </c>
      <c r="B526" s="1">
        <v>45730</v>
      </c>
      <c r="C526" t="s">
        <v>23</v>
      </c>
      <c r="D526" t="s">
        <v>12</v>
      </c>
      <c r="E526" t="s">
        <v>13</v>
      </c>
      <c r="F526" t="s">
        <v>30</v>
      </c>
      <c r="G526" t="s">
        <v>35</v>
      </c>
      <c r="H526">
        <v>5</v>
      </c>
      <c r="I526">
        <v>3369.17</v>
      </c>
      <c r="J526">
        <v>15</v>
      </c>
      <c r="K526">
        <v>16845.849999999999</v>
      </c>
    </row>
    <row r="527" spans="1:11">
      <c r="A527">
        <v>10320</v>
      </c>
      <c r="B527" s="1">
        <v>45853</v>
      </c>
      <c r="C527" t="s">
        <v>23</v>
      </c>
      <c r="D527" t="s">
        <v>12</v>
      </c>
      <c r="E527" t="s">
        <v>13</v>
      </c>
      <c r="F527" t="s">
        <v>22</v>
      </c>
      <c r="G527" t="s">
        <v>19</v>
      </c>
      <c r="H527">
        <v>5</v>
      </c>
      <c r="I527">
        <v>3376.26</v>
      </c>
      <c r="J527">
        <v>5</v>
      </c>
      <c r="K527">
        <v>16881.3</v>
      </c>
    </row>
    <row r="528" spans="1:11">
      <c r="A528">
        <v>10401</v>
      </c>
      <c r="B528" s="1">
        <v>45998</v>
      </c>
      <c r="C528" t="s">
        <v>23</v>
      </c>
      <c r="D528" t="s">
        <v>12</v>
      </c>
      <c r="E528" t="s">
        <v>13</v>
      </c>
      <c r="F528" t="s">
        <v>28</v>
      </c>
      <c r="G528" t="s">
        <v>35</v>
      </c>
      <c r="H528">
        <v>5</v>
      </c>
      <c r="I528">
        <v>3400.27</v>
      </c>
      <c r="J528">
        <v>5</v>
      </c>
      <c r="K528">
        <v>17001.349999999999</v>
      </c>
    </row>
    <row r="529" spans="1:11">
      <c r="A529">
        <v>10429</v>
      </c>
      <c r="B529" s="1">
        <v>45953</v>
      </c>
      <c r="C529" t="s">
        <v>37</v>
      </c>
      <c r="D529" t="s">
        <v>21</v>
      </c>
      <c r="E529" t="s">
        <v>24</v>
      </c>
      <c r="F529" t="s">
        <v>31</v>
      </c>
      <c r="G529" t="s">
        <v>19</v>
      </c>
      <c r="H529">
        <v>3</v>
      </c>
      <c r="I529">
        <v>5732.31</v>
      </c>
      <c r="J529">
        <v>20</v>
      </c>
      <c r="K529">
        <v>17196.93</v>
      </c>
    </row>
    <row r="530" spans="1:11">
      <c r="A530">
        <v>10048</v>
      </c>
      <c r="B530" s="1">
        <v>45792</v>
      </c>
      <c r="C530" t="s">
        <v>23</v>
      </c>
      <c r="D530" t="s">
        <v>12</v>
      </c>
      <c r="E530" t="s">
        <v>18</v>
      </c>
      <c r="F530" t="s">
        <v>22</v>
      </c>
      <c r="G530" t="s">
        <v>19</v>
      </c>
      <c r="H530">
        <v>5</v>
      </c>
      <c r="I530">
        <v>3520.31</v>
      </c>
      <c r="J530">
        <v>0</v>
      </c>
      <c r="K530">
        <v>17601.55</v>
      </c>
    </row>
    <row r="531" spans="1:11">
      <c r="A531">
        <v>10470</v>
      </c>
      <c r="B531" s="1">
        <v>45997</v>
      </c>
      <c r="C531" t="s">
        <v>37</v>
      </c>
      <c r="D531" t="s">
        <v>21</v>
      </c>
      <c r="E531" t="s">
        <v>27</v>
      </c>
      <c r="F531" t="s">
        <v>33</v>
      </c>
      <c r="G531" t="s">
        <v>15</v>
      </c>
      <c r="H531">
        <v>3</v>
      </c>
      <c r="I531">
        <v>5880.08</v>
      </c>
      <c r="J531">
        <v>0</v>
      </c>
      <c r="K531">
        <v>17640.240000000002</v>
      </c>
    </row>
    <row r="532" spans="1:11">
      <c r="A532">
        <v>10363</v>
      </c>
      <c r="B532" s="1">
        <v>46013</v>
      </c>
      <c r="C532" t="s">
        <v>37</v>
      </c>
      <c r="D532" t="s">
        <v>21</v>
      </c>
      <c r="E532" t="s">
        <v>27</v>
      </c>
      <c r="F532" t="s">
        <v>33</v>
      </c>
      <c r="G532" t="s">
        <v>15</v>
      </c>
      <c r="H532">
        <v>3</v>
      </c>
      <c r="I532">
        <v>5924.65</v>
      </c>
      <c r="J532">
        <v>20</v>
      </c>
      <c r="K532">
        <v>17773.95</v>
      </c>
    </row>
    <row r="533" spans="1:11">
      <c r="A533">
        <v>10299</v>
      </c>
      <c r="B533" s="1">
        <v>45718</v>
      </c>
      <c r="C533" t="s">
        <v>23</v>
      </c>
      <c r="D533" t="s">
        <v>12</v>
      </c>
      <c r="E533" t="s">
        <v>27</v>
      </c>
      <c r="F533" t="s">
        <v>30</v>
      </c>
      <c r="G533" t="s">
        <v>15</v>
      </c>
      <c r="H533">
        <v>5</v>
      </c>
      <c r="I533">
        <v>3564.11</v>
      </c>
      <c r="J533">
        <v>15</v>
      </c>
      <c r="K533">
        <v>17820.55</v>
      </c>
    </row>
    <row r="534" spans="1:11">
      <c r="A534">
        <v>10329</v>
      </c>
      <c r="B534" s="1">
        <v>45898</v>
      </c>
      <c r="C534" t="s">
        <v>37</v>
      </c>
      <c r="D534" t="s">
        <v>21</v>
      </c>
      <c r="E534" t="s">
        <v>13</v>
      </c>
      <c r="F534" t="s">
        <v>14</v>
      </c>
      <c r="G534" t="s">
        <v>19</v>
      </c>
      <c r="H534">
        <v>3</v>
      </c>
      <c r="I534">
        <v>5947.37</v>
      </c>
      <c r="J534">
        <v>10</v>
      </c>
      <c r="K534">
        <v>17842.11</v>
      </c>
    </row>
    <row r="535" spans="1:11">
      <c r="A535">
        <v>10424</v>
      </c>
      <c r="B535" s="1">
        <v>46006</v>
      </c>
      <c r="C535" t="s">
        <v>23</v>
      </c>
      <c r="D535" t="s">
        <v>12</v>
      </c>
      <c r="E535" t="s">
        <v>24</v>
      </c>
      <c r="F535" t="s">
        <v>30</v>
      </c>
      <c r="G535" t="s">
        <v>35</v>
      </c>
      <c r="H535">
        <v>5</v>
      </c>
      <c r="I535">
        <v>3579.46</v>
      </c>
      <c r="J535">
        <v>20</v>
      </c>
      <c r="K535">
        <v>17897.3</v>
      </c>
    </row>
    <row r="536" spans="1:11">
      <c r="A536">
        <v>10570</v>
      </c>
      <c r="B536" s="1">
        <v>45723</v>
      </c>
      <c r="C536" t="s">
        <v>37</v>
      </c>
      <c r="D536" t="s">
        <v>21</v>
      </c>
      <c r="E536" t="s">
        <v>24</v>
      </c>
      <c r="F536" t="s">
        <v>31</v>
      </c>
      <c r="G536" t="s">
        <v>35</v>
      </c>
      <c r="H536">
        <v>3</v>
      </c>
      <c r="I536">
        <v>6001.47</v>
      </c>
      <c r="J536">
        <v>5</v>
      </c>
      <c r="K536">
        <v>18004.41</v>
      </c>
    </row>
    <row r="537" spans="1:11">
      <c r="A537">
        <v>10148</v>
      </c>
      <c r="B537" s="1">
        <v>45870</v>
      </c>
      <c r="C537" t="s">
        <v>37</v>
      </c>
      <c r="D537" t="s">
        <v>21</v>
      </c>
      <c r="E537" t="s">
        <v>18</v>
      </c>
      <c r="F537" t="s">
        <v>14</v>
      </c>
      <c r="G537" t="s">
        <v>15</v>
      </c>
      <c r="H537">
        <v>3</v>
      </c>
      <c r="I537">
        <v>6017.51</v>
      </c>
      <c r="J537">
        <v>0</v>
      </c>
      <c r="K537">
        <v>18052.53</v>
      </c>
    </row>
    <row r="538" spans="1:11">
      <c r="A538">
        <v>10295</v>
      </c>
      <c r="B538" s="1">
        <v>45756</v>
      </c>
      <c r="C538" t="s">
        <v>23</v>
      </c>
      <c r="D538" t="s">
        <v>12</v>
      </c>
      <c r="E538" t="s">
        <v>18</v>
      </c>
      <c r="F538" t="s">
        <v>33</v>
      </c>
      <c r="G538" t="s">
        <v>35</v>
      </c>
      <c r="H538">
        <v>5</v>
      </c>
      <c r="I538">
        <v>3613.41</v>
      </c>
      <c r="J538">
        <v>10</v>
      </c>
      <c r="K538">
        <v>18067.05</v>
      </c>
    </row>
    <row r="539" spans="1:11">
      <c r="A539">
        <v>10069</v>
      </c>
      <c r="B539" s="1">
        <v>45875</v>
      </c>
      <c r="C539" t="s">
        <v>36</v>
      </c>
      <c r="D539" t="s">
        <v>12</v>
      </c>
      <c r="E539" t="s">
        <v>18</v>
      </c>
      <c r="F539" t="s">
        <v>14</v>
      </c>
      <c r="G539" t="s">
        <v>35</v>
      </c>
      <c r="H539">
        <v>10</v>
      </c>
      <c r="I539">
        <v>1813.59</v>
      </c>
      <c r="J539">
        <v>0</v>
      </c>
      <c r="K539">
        <v>18135.900000000001</v>
      </c>
    </row>
    <row r="540" spans="1:11">
      <c r="A540">
        <v>10051</v>
      </c>
      <c r="B540" s="1">
        <v>45785</v>
      </c>
      <c r="C540" t="s">
        <v>23</v>
      </c>
      <c r="D540" t="s">
        <v>12</v>
      </c>
      <c r="E540" t="s">
        <v>24</v>
      </c>
      <c r="F540" t="s">
        <v>30</v>
      </c>
      <c r="G540" t="s">
        <v>35</v>
      </c>
      <c r="H540">
        <v>5</v>
      </c>
      <c r="I540">
        <v>3664.8</v>
      </c>
      <c r="J540">
        <v>15</v>
      </c>
      <c r="K540">
        <v>18324</v>
      </c>
    </row>
    <row r="541" spans="1:11">
      <c r="A541">
        <v>10501</v>
      </c>
      <c r="B541" s="1">
        <v>45901</v>
      </c>
      <c r="C541" t="s">
        <v>37</v>
      </c>
      <c r="D541" t="s">
        <v>21</v>
      </c>
      <c r="E541" t="s">
        <v>13</v>
      </c>
      <c r="F541" t="s">
        <v>30</v>
      </c>
      <c r="G541" t="s">
        <v>15</v>
      </c>
      <c r="H541">
        <v>3</v>
      </c>
      <c r="I541">
        <v>6189.4</v>
      </c>
      <c r="J541">
        <v>0</v>
      </c>
      <c r="K541">
        <v>18568.2</v>
      </c>
    </row>
    <row r="542" spans="1:11">
      <c r="A542">
        <v>10463</v>
      </c>
      <c r="B542" s="1">
        <v>45686</v>
      </c>
      <c r="C542" t="s">
        <v>37</v>
      </c>
      <c r="D542" t="s">
        <v>21</v>
      </c>
      <c r="E542" t="s">
        <v>18</v>
      </c>
      <c r="F542" t="s">
        <v>33</v>
      </c>
      <c r="G542" t="s">
        <v>19</v>
      </c>
      <c r="H542">
        <v>3</v>
      </c>
      <c r="I542">
        <v>6260.08</v>
      </c>
      <c r="J542">
        <v>20</v>
      </c>
      <c r="K542">
        <v>18780.240000000002</v>
      </c>
    </row>
    <row r="543" spans="1:11">
      <c r="A543">
        <v>10611</v>
      </c>
      <c r="B543" s="1">
        <v>45803</v>
      </c>
      <c r="C543" t="s">
        <v>36</v>
      </c>
      <c r="D543" t="s">
        <v>12</v>
      </c>
      <c r="E543" t="s">
        <v>24</v>
      </c>
      <c r="F543" t="s">
        <v>14</v>
      </c>
      <c r="G543" t="s">
        <v>19</v>
      </c>
      <c r="H543">
        <v>10</v>
      </c>
      <c r="I543">
        <v>1889.63</v>
      </c>
      <c r="J543">
        <v>10</v>
      </c>
      <c r="K543">
        <v>18896.3</v>
      </c>
    </row>
    <row r="544" spans="1:11">
      <c r="A544">
        <v>10004</v>
      </c>
      <c r="B544" s="1">
        <v>45661</v>
      </c>
      <c r="C544" t="s">
        <v>20</v>
      </c>
      <c r="D544" t="s">
        <v>21</v>
      </c>
      <c r="E544" t="s">
        <v>18</v>
      </c>
      <c r="F544" t="s">
        <v>22</v>
      </c>
      <c r="G544" t="s">
        <v>19</v>
      </c>
      <c r="H544">
        <v>3</v>
      </c>
      <c r="I544">
        <v>6354.64</v>
      </c>
      <c r="J544">
        <v>0</v>
      </c>
      <c r="K544">
        <v>19063.919999999998</v>
      </c>
    </row>
    <row r="545" spans="1:11">
      <c r="A545">
        <v>10354</v>
      </c>
      <c r="B545" s="1">
        <v>45725</v>
      </c>
      <c r="C545" t="s">
        <v>36</v>
      </c>
      <c r="D545" t="s">
        <v>12</v>
      </c>
      <c r="E545" t="s">
        <v>24</v>
      </c>
      <c r="F545" t="s">
        <v>14</v>
      </c>
      <c r="G545" t="s">
        <v>19</v>
      </c>
      <c r="H545">
        <v>10</v>
      </c>
      <c r="I545">
        <v>1909.82</v>
      </c>
      <c r="J545">
        <v>10</v>
      </c>
      <c r="K545">
        <v>19098.2</v>
      </c>
    </row>
    <row r="546" spans="1:11">
      <c r="A546">
        <v>10300</v>
      </c>
      <c r="B546" s="1">
        <v>46011</v>
      </c>
      <c r="C546" t="s">
        <v>20</v>
      </c>
      <c r="D546" t="s">
        <v>21</v>
      </c>
      <c r="E546" t="s">
        <v>24</v>
      </c>
      <c r="F546" t="s">
        <v>22</v>
      </c>
      <c r="G546" t="s">
        <v>19</v>
      </c>
      <c r="H546">
        <v>3</v>
      </c>
      <c r="I546">
        <v>6573.5</v>
      </c>
      <c r="J546">
        <v>0</v>
      </c>
      <c r="K546">
        <v>19720.5</v>
      </c>
    </row>
    <row r="547" spans="1:11">
      <c r="A547">
        <v>10198</v>
      </c>
      <c r="B547" s="1">
        <v>45894</v>
      </c>
      <c r="C547" t="s">
        <v>20</v>
      </c>
      <c r="D547" t="s">
        <v>21</v>
      </c>
      <c r="E547" t="s">
        <v>27</v>
      </c>
      <c r="F547" t="s">
        <v>28</v>
      </c>
      <c r="G547" t="s">
        <v>15</v>
      </c>
      <c r="H547">
        <v>3</v>
      </c>
      <c r="I547">
        <v>6714.57</v>
      </c>
      <c r="J547">
        <v>0</v>
      </c>
      <c r="K547">
        <v>20143.71</v>
      </c>
    </row>
    <row r="548" spans="1:11">
      <c r="A548">
        <v>10516</v>
      </c>
      <c r="B548" s="1">
        <v>45802</v>
      </c>
      <c r="C548" t="s">
        <v>38</v>
      </c>
      <c r="D548" t="s">
        <v>12</v>
      </c>
      <c r="E548" t="s">
        <v>13</v>
      </c>
      <c r="F548" t="s">
        <v>22</v>
      </c>
      <c r="G548" t="s">
        <v>15</v>
      </c>
      <c r="H548">
        <v>10</v>
      </c>
      <c r="I548">
        <v>2198.73</v>
      </c>
      <c r="J548">
        <v>0</v>
      </c>
      <c r="K548">
        <v>21987.3</v>
      </c>
    </row>
    <row r="549" spans="1:11">
      <c r="A549">
        <v>10372</v>
      </c>
      <c r="B549" s="1">
        <v>46011</v>
      </c>
      <c r="C549" t="s">
        <v>38</v>
      </c>
      <c r="D549" t="s">
        <v>12</v>
      </c>
      <c r="E549" t="s">
        <v>18</v>
      </c>
      <c r="F549" t="s">
        <v>40</v>
      </c>
      <c r="G549" t="s">
        <v>15</v>
      </c>
      <c r="H549">
        <v>10</v>
      </c>
      <c r="I549">
        <v>2208.09</v>
      </c>
      <c r="J549">
        <v>5</v>
      </c>
      <c r="K549">
        <v>22080.9</v>
      </c>
    </row>
    <row r="550" spans="1:11">
      <c r="A550">
        <v>10621</v>
      </c>
      <c r="B550" s="1">
        <v>46008</v>
      </c>
      <c r="C550" t="s">
        <v>38</v>
      </c>
      <c r="D550" t="s">
        <v>12</v>
      </c>
      <c r="E550" t="s">
        <v>18</v>
      </c>
      <c r="F550" t="s">
        <v>33</v>
      </c>
      <c r="G550" t="s">
        <v>15</v>
      </c>
      <c r="H550">
        <v>10</v>
      </c>
      <c r="I550">
        <v>2220.66</v>
      </c>
      <c r="J550">
        <v>10</v>
      </c>
      <c r="K550">
        <v>22206.6</v>
      </c>
    </row>
    <row r="551" spans="1:11">
      <c r="A551">
        <v>10275</v>
      </c>
      <c r="B551" s="1">
        <v>45953</v>
      </c>
      <c r="C551" t="s">
        <v>38</v>
      </c>
      <c r="D551" t="s">
        <v>12</v>
      </c>
      <c r="E551" t="s">
        <v>18</v>
      </c>
      <c r="F551" t="s">
        <v>22</v>
      </c>
      <c r="G551" t="s">
        <v>15</v>
      </c>
      <c r="H551">
        <v>10</v>
      </c>
      <c r="I551">
        <v>2223.25</v>
      </c>
      <c r="J551">
        <v>15</v>
      </c>
      <c r="K551">
        <v>22232.5</v>
      </c>
    </row>
    <row r="552" spans="1:11">
      <c r="A552">
        <v>10200</v>
      </c>
      <c r="B552" s="1">
        <v>45991</v>
      </c>
      <c r="C552" t="s">
        <v>38</v>
      </c>
      <c r="D552" t="s">
        <v>12</v>
      </c>
      <c r="E552" t="s">
        <v>18</v>
      </c>
      <c r="F552" t="s">
        <v>30</v>
      </c>
      <c r="G552" t="s">
        <v>35</v>
      </c>
      <c r="H552">
        <v>10</v>
      </c>
      <c r="I552">
        <v>2299.31</v>
      </c>
      <c r="J552">
        <v>0</v>
      </c>
      <c r="K552">
        <v>22993.1</v>
      </c>
    </row>
    <row r="553" spans="1:11">
      <c r="A553">
        <v>10404</v>
      </c>
      <c r="B553" s="1">
        <v>45666</v>
      </c>
      <c r="C553" t="s">
        <v>25</v>
      </c>
      <c r="D553" t="s">
        <v>26</v>
      </c>
      <c r="E553" t="s">
        <v>24</v>
      </c>
      <c r="F553" t="s">
        <v>14</v>
      </c>
      <c r="G553" t="s">
        <v>19</v>
      </c>
      <c r="H553">
        <v>10</v>
      </c>
      <c r="I553">
        <v>2374.2199999999998</v>
      </c>
      <c r="J553">
        <v>5</v>
      </c>
      <c r="K553">
        <v>23742.2</v>
      </c>
    </row>
    <row r="554" spans="1:11">
      <c r="A554">
        <v>10263</v>
      </c>
      <c r="B554" s="1">
        <v>45921</v>
      </c>
      <c r="C554" t="s">
        <v>25</v>
      </c>
      <c r="D554" t="s">
        <v>26</v>
      </c>
      <c r="E554" t="s">
        <v>27</v>
      </c>
      <c r="F554" t="s">
        <v>31</v>
      </c>
      <c r="G554" t="s">
        <v>19</v>
      </c>
      <c r="H554">
        <v>10</v>
      </c>
      <c r="I554">
        <v>2379.84</v>
      </c>
      <c r="J554">
        <v>5</v>
      </c>
      <c r="K554">
        <v>23798.400000000001</v>
      </c>
    </row>
    <row r="555" spans="1:11">
      <c r="A555">
        <v>10622</v>
      </c>
      <c r="B555" s="1">
        <v>45995</v>
      </c>
      <c r="C555" t="s">
        <v>38</v>
      </c>
      <c r="D555" t="s">
        <v>12</v>
      </c>
      <c r="E555" t="s">
        <v>18</v>
      </c>
      <c r="F555" t="s">
        <v>22</v>
      </c>
      <c r="G555" t="s">
        <v>35</v>
      </c>
      <c r="H555">
        <v>10</v>
      </c>
      <c r="I555">
        <v>2399.9699999999998</v>
      </c>
      <c r="J555">
        <v>0</v>
      </c>
      <c r="K555">
        <v>23999.7</v>
      </c>
    </row>
    <row r="556" spans="1:11">
      <c r="A556">
        <v>10035</v>
      </c>
      <c r="B556" s="1">
        <v>45804</v>
      </c>
      <c r="C556" t="s">
        <v>25</v>
      </c>
      <c r="D556" t="s">
        <v>26</v>
      </c>
      <c r="E556" t="s">
        <v>27</v>
      </c>
      <c r="F556" t="s">
        <v>22</v>
      </c>
      <c r="G556" t="s">
        <v>35</v>
      </c>
      <c r="H556">
        <v>10</v>
      </c>
      <c r="I556">
        <v>2412.73</v>
      </c>
      <c r="J556">
        <v>0</v>
      </c>
      <c r="K556">
        <v>24127.3</v>
      </c>
    </row>
    <row r="557" spans="1:11">
      <c r="A557">
        <v>10603</v>
      </c>
      <c r="B557" s="1">
        <v>45853</v>
      </c>
      <c r="C557" t="s">
        <v>25</v>
      </c>
      <c r="D557" t="s">
        <v>26</v>
      </c>
      <c r="E557" t="s">
        <v>27</v>
      </c>
      <c r="F557" t="s">
        <v>22</v>
      </c>
      <c r="G557" t="s">
        <v>15</v>
      </c>
      <c r="H557">
        <v>10</v>
      </c>
      <c r="I557">
        <v>2413.12</v>
      </c>
      <c r="J557">
        <v>0</v>
      </c>
      <c r="K557">
        <v>24131.200000000001</v>
      </c>
    </row>
    <row r="558" spans="1:11">
      <c r="A558">
        <v>10437</v>
      </c>
      <c r="B558" s="1">
        <v>45813</v>
      </c>
      <c r="C558" t="s">
        <v>38</v>
      </c>
      <c r="D558" t="s">
        <v>12</v>
      </c>
      <c r="E558" t="s">
        <v>18</v>
      </c>
      <c r="F558" t="s">
        <v>31</v>
      </c>
      <c r="G558" t="s">
        <v>19</v>
      </c>
      <c r="H558">
        <v>10</v>
      </c>
      <c r="I558">
        <v>2413.44</v>
      </c>
      <c r="J558">
        <v>20</v>
      </c>
      <c r="K558">
        <v>24134.400000000001</v>
      </c>
    </row>
    <row r="559" spans="1:11">
      <c r="A559">
        <v>10387</v>
      </c>
      <c r="B559" s="1">
        <v>45727</v>
      </c>
      <c r="C559" t="s">
        <v>25</v>
      </c>
      <c r="D559" t="s">
        <v>26</v>
      </c>
      <c r="E559" t="s">
        <v>18</v>
      </c>
      <c r="F559" t="s">
        <v>31</v>
      </c>
      <c r="G559" t="s">
        <v>35</v>
      </c>
      <c r="H559">
        <v>10</v>
      </c>
      <c r="I559">
        <v>2476.29</v>
      </c>
      <c r="J559">
        <v>5</v>
      </c>
      <c r="K559">
        <v>24762.9</v>
      </c>
    </row>
    <row r="560" spans="1:11">
      <c r="A560">
        <v>10183</v>
      </c>
      <c r="B560" s="1">
        <v>45996</v>
      </c>
      <c r="C560" t="s">
        <v>25</v>
      </c>
      <c r="D560" t="s">
        <v>26</v>
      </c>
      <c r="E560" t="s">
        <v>27</v>
      </c>
      <c r="F560" t="s">
        <v>31</v>
      </c>
      <c r="G560" t="s">
        <v>35</v>
      </c>
      <c r="H560">
        <v>10</v>
      </c>
      <c r="I560">
        <v>2477.5500000000002</v>
      </c>
      <c r="J560">
        <v>0</v>
      </c>
      <c r="K560">
        <v>24775.5</v>
      </c>
    </row>
    <row r="561" spans="1:11">
      <c r="A561">
        <v>10231</v>
      </c>
      <c r="B561" s="1">
        <v>45816</v>
      </c>
      <c r="C561" t="s">
        <v>39</v>
      </c>
      <c r="D561" t="s">
        <v>21</v>
      </c>
      <c r="E561" t="s">
        <v>27</v>
      </c>
      <c r="F561" t="s">
        <v>33</v>
      </c>
      <c r="G561" t="s">
        <v>19</v>
      </c>
      <c r="H561">
        <v>2</v>
      </c>
      <c r="I561">
        <v>12396.65</v>
      </c>
      <c r="J561">
        <v>15</v>
      </c>
      <c r="K561">
        <v>24793.3</v>
      </c>
    </row>
    <row r="562" spans="1:11">
      <c r="A562">
        <v>10095</v>
      </c>
      <c r="B562" s="1">
        <v>45942</v>
      </c>
      <c r="C562" t="s">
        <v>25</v>
      </c>
      <c r="D562" t="s">
        <v>26</v>
      </c>
      <c r="E562" t="s">
        <v>18</v>
      </c>
      <c r="F562" t="s">
        <v>22</v>
      </c>
      <c r="G562" t="s">
        <v>19</v>
      </c>
      <c r="H562">
        <v>10</v>
      </c>
      <c r="I562">
        <v>2486.0500000000002</v>
      </c>
      <c r="J562">
        <v>0</v>
      </c>
      <c r="K562">
        <v>24860.5</v>
      </c>
    </row>
    <row r="563" spans="1:11">
      <c r="A563">
        <v>10025</v>
      </c>
      <c r="B563" s="1">
        <v>45882</v>
      </c>
      <c r="C563" t="s">
        <v>39</v>
      </c>
      <c r="D563" t="s">
        <v>21</v>
      </c>
      <c r="E563" t="s">
        <v>27</v>
      </c>
      <c r="F563" t="s">
        <v>28</v>
      </c>
      <c r="G563" t="s">
        <v>15</v>
      </c>
      <c r="H563">
        <v>2</v>
      </c>
      <c r="I563">
        <v>12432.28</v>
      </c>
      <c r="J563">
        <v>0</v>
      </c>
      <c r="K563">
        <v>24864.560000000001</v>
      </c>
    </row>
    <row r="564" spans="1:11">
      <c r="A564">
        <v>10213</v>
      </c>
      <c r="B564" s="1">
        <v>45757</v>
      </c>
      <c r="C564" t="s">
        <v>25</v>
      </c>
      <c r="D564" t="s">
        <v>26</v>
      </c>
      <c r="E564" t="s">
        <v>13</v>
      </c>
      <c r="F564" t="s">
        <v>22</v>
      </c>
      <c r="G564" t="s">
        <v>35</v>
      </c>
      <c r="H564">
        <v>10</v>
      </c>
      <c r="I564">
        <v>2489.42</v>
      </c>
      <c r="J564">
        <v>0</v>
      </c>
      <c r="K564">
        <v>24894.2</v>
      </c>
    </row>
    <row r="565" spans="1:11">
      <c r="A565">
        <v>10619</v>
      </c>
      <c r="B565" s="1">
        <v>45858</v>
      </c>
      <c r="C565" t="s">
        <v>39</v>
      </c>
      <c r="D565" t="s">
        <v>21</v>
      </c>
      <c r="E565" t="s">
        <v>18</v>
      </c>
      <c r="F565" t="s">
        <v>33</v>
      </c>
      <c r="G565" t="s">
        <v>35</v>
      </c>
      <c r="H565">
        <v>2</v>
      </c>
      <c r="I565">
        <v>12523.08</v>
      </c>
      <c r="J565">
        <v>10</v>
      </c>
      <c r="K565">
        <v>25046.16</v>
      </c>
    </row>
    <row r="566" spans="1:11">
      <c r="A566">
        <v>10359</v>
      </c>
      <c r="B566" s="1">
        <v>45697</v>
      </c>
      <c r="C566" t="s">
        <v>25</v>
      </c>
      <c r="D566" t="s">
        <v>26</v>
      </c>
      <c r="E566" t="s">
        <v>13</v>
      </c>
      <c r="F566" t="s">
        <v>30</v>
      </c>
      <c r="G566" t="s">
        <v>15</v>
      </c>
      <c r="H566">
        <v>10</v>
      </c>
      <c r="I566">
        <v>2522.44</v>
      </c>
      <c r="J566">
        <v>0</v>
      </c>
      <c r="K566">
        <v>25224.400000000001</v>
      </c>
    </row>
    <row r="567" spans="1:11">
      <c r="A567">
        <v>10220</v>
      </c>
      <c r="B567" s="1">
        <v>46014</v>
      </c>
      <c r="C567" t="s">
        <v>25</v>
      </c>
      <c r="D567" t="s">
        <v>26</v>
      </c>
      <c r="E567" t="s">
        <v>18</v>
      </c>
      <c r="F567" t="s">
        <v>22</v>
      </c>
      <c r="G567" t="s">
        <v>19</v>
      </c>
      <c r="H567">
        <v>10</v>
      </c>
      <c r="I567">
        <v>2527.83</v>
      </c>
      <c r="J567">
        <v>0</v>
      </c>
      <c r="K567">
        <v>25278.3</v>
      </c>
    </row>
    <row r="568" spans="1:11">
      <c r="A568">
        <v>10535</v>
      </c>
      <c r="B568" s="1">
        <v>45754</v>
      </c>
      <c r="C568" t="s">
        <v>39</v>
      </c>
      <c r="D568" t="s">
        <v>21</v>
      </c>
      <c r="E568" t="s">
        <v>18</v>
      </c>
      <c r="F568" t="s">
        <v>31</v>
      </c>
      <c r="G568" t="s">
        <v>15</v>
      </c>
      <c r="H568">
        <v>2</v>
      </c>
      <c r="I568">
        <v>12640.65</v>
      </c>
      <c r="J568">
        <v>0</v>
      </c>
      <c r="K568">
        <v>25281.3</v>
      </c>
    </row>
    <row r="569" spans="1:11">
      <c r="A569">
        <v>10072</v>
      </c>
      <c r="B569" s="1">
        <v>45790</v>
      </c>
      <c r="C569" t="s">
        <v>25</v>
      </c>
      <c r="D569" t="s">
        <v>26</v>
      </c>
      <c r="E569" t="s">
        <v>18</v>
      </c>
      <c r="F569" t="s">
        <v>22</v>
      </c>
      <c r="G569" t="s">
        <v>19</v>
      </c>
      <c r="H569">
        <v>10</v>
      </c>
      <c r="I569">
        <v>2530.67</v>
      </c>
      <c r="J569">
        <v>0</v>
      </c>
      <c r="K569">
        <v>25306.7</v>
      </c>
    </row>
    <row r="570" spans="1:11">
      <c r="A570">
        <v>10336</v>
      </c>
      <c r="B570" s="1">
        <v>45849</v>
      </c>
      <c r="C570" t="s">
        <v>25</v>
      </c>
      <c r="D570" t="s">
        <v>26</v>
      </c>
      <c r="E570" t="s">
        <v>24</v>
      </c>
      <c r="F570" t="s">
        <v>33</v>
      </c>
      <c r="G570" t="s">
        <v>35</v>
      </c>
      <c r="H570">
        <v>10</v>
      </c>
      <c r="I570">
        <v>2538.81</v>
      </c>
      <c r="J570">
        <v>0</v>
      </c>
      <c r="K570">
        <v>25388.1</v>
      </c>
    </row>
    <row r="571" spans="1:11">
      <c r="A571">
        <v>10093</v>
      </c>
      <c r="B571" s="1">
        <v>45751</v>
      </c>
      <c r="C571" t="s">
        <v>39</v>
      </c>
      <c r="D571" t="s">
        <v>21</v>
      </c>
      <c r="E571" t="s">
        <v>27</v>
      </c>
      <c r="F571" t="s">
        <v>14</v>
      </c>
      <c r="G571" t="s">
        <v>19</v>
      </c>
      <c r="H571">
        <v>2</v>
      </c>
      <c r="I571">
        <v>12791.46</v>
      </c>
      <c r="J571">
        <v>10</v>
      </c>
      <c r="K571">
        <v>25582.92</v>
      </c>
    </row>
    <row r="572" spans="1:11">
      <c r="A572">
        <v>10297</v>
      </c>
      <c r="B572" s="1">
        <v>45785</v>
      </c>
      <c r="C572" t="s">
        <v>39</v>
      </c>
      <c r="D572" t="s">
        <v>21</v>
      </c>
      <c r="E572" t="s">
        <v>24</v>
      </c>
      <c r="F572" t="s">
        <v>30</v>
      </c>
      <c r="G572" t="s">
        <v>19</v>
      </c>
      <c r="H572">
        <v>2</v>
      </c>
      <c r="I572">
        <v>12929.76</v>
      </c>
      <c r="J572">
        <v>0</v>
      </c>
      <c r="K572">
        <v>25859.52</v>
      </c>
    </row>
    <row r="573" spans="1:11">
      <c r="A573">
        <v>10555</v>
      </c>
      <c r="B573" s="1">
        <v>45923</v>
      </c>
      <c r="C573" t="s">
        <v>39</v>
      </c>
      <c r="D573" t="s">
        <v>21</v>
      </c>
      <c r="E573" t="s">
        <v>24</v>
      </c>
      <c r="F573" t="s">
        <v>31</v>
      </c>
      <c r="G573" t="s">
        <v>35</v>
      </c>
      <c r="H573">
        <v>2</v>
      </c>
      <c r="I573">
        <v>12975.51</v>
      </c>
      <c r="J573">
        <v>15</v>
      </c>
      <c r="K573">
        <v>25951.02</v>
      </c>
    </row>
    <row r="574" spans="1:11">
      <c r="A574">
        <v>10602</v>
      </c>
      <c r="B574" s="1">
        <v>45915</v>
      </c>
      <c r="C574" t="s">
        <v>39</v>
      </c>
      <c r="D574" t="s">
        <v>21</v>
      </c>
      <c r="E574" t="s">
        <v>24</v>
      </c>
      <c r="F574" t="s">
        <v>30</v>
      </c>
      <c r="G574" t="s">
        <v>35</v>
      </c>
      <c r="H574">
        <v>2</v>
      </c>
      <c r="I574">
        <v>13137.52</v>
      </c>
      <c r="J574">
        <v>0</v>
      </c>
      <c r="K574">
        <v>26275.040000000001</v>
      </c>
    </row>
    <row r="575" spans="1:11">
      <c r="A575">
        <v>10168</v>
      </c>
      <c r="B575" s="1">
        <v>45969</v>
      </c>
      <c r="C575" t="s">
        <v>39</v>
      </c>
      <c r="D575" t="s">
        <v>21</v>
      </c>
      <c r="E575" t="s">
        <v>18</v>
      </c>
      <c r="F575" t="s">
        <v>28</v>
      </c>
      <c r="G575" t="s">
        <v>15</v>
      </c>
      <c r="H575">
        <v>2</v>
      </c>
      <c r="I575">
        <v>13160.6</v>
      </c>
      <c r="J575">
        <v>10</v>
      </c>
      <c r="K575">
        <v>26321.200000000001</v>
      </c>
    </row>
    <row r="576" spans="1:11">
      <c r="A576">
        <v>10398</v>
      </c>
      <c r="B576" s="1">
        <v>45784</v>
      </c>
      <c r="C576" t="s">
        <v>39</v>
      </c>
      <c r="D576" t="s">
        <v>21</v>
      </c>
      <c r="E576" t="s">
        <v>27</v>
      </c>
      <c r="F576" t="s">
        <v>31</v>
      </c>
      <c r="G576" t="s">
        <v>15</v>
      </c>
      <c r="H576">
        <v>2</v>
      </c>
      <c r="I576">
        <v>13165.14</v>
      </c>
      <c r="J576">
        <v>5</v>
      </c>
      <c r="K576">
        <v>26330.28</v>
      </c>
    </row>
    <row r="577" spans="1:11">
      <c r="A577">
        <v>10514</v>
      </c>
      <c r="B577" s="1">
        <v>45893</v>
      </c>
      <c r="C577" t="s">
        <v>39</v>
      </c>
      <c r="D577" t="s">
        <v>21</v>
      </c>
      <c r="E577" t="s">
        <v>13</v>
      </c>
      <c r="F577" t="s">
        <v>14</v>
      </c>
      <c r="G577" t="s">
        <v>19</v>
      </c>
      <c r="H577">
        <v>2</v>
      </c>
      <c r="I577">
        <v>13229.34</v>
      </c>
      <c r="J577">
        <v>20</v>
      </c>
      <c r="K577">
        <v>26458.68</v>
      </c>
    </row>
    <row r="578" spans="1:11">
      <c r="A578">
        <v>10573</v>
      </c>
      <c r="B578" s="1">
        <v>46022</v>
      </c>
      <c r="C578" t="s">
        <v>39</v>
      </c>
      <c r="D578" t="s">
        <v>21</v>
      </c>
      <c r="E578" t="s">
        <v>18</v>
      </c>
      <c r="F578" t="s">
        <v>14</v>
      </c>
      <c r="G578" t="s">
        <v>15</v>
      </c>
      <c r="H578">
        <v>2</v>
      </c>
      <c r="I578">
        <v>13241.58</v>
      </c>
      <c r="J578">
        <v>15</v>
      </c>
      <c r="K578">
        <v>26483.16</v>
      </c>
    </row>
    <row r="579" spans="1:11">
      <c r="A579">
        <v>10009</v>
      </c>
      <c r="B579" s="1">
        <v>45741</v>
      </c>
      <c r="C579" t="s">
        <v>39</v>
      </c>
      <c r="D579" t="s">
        <v>21</v>
      </c>
      <c r="E579" t="s">
        <v>13</v>
      </c>
      <c r="F579" t="s">
        <v>30</v>
      </c>
      <c r="G579" t="s">
        <v>15</v>
      </c>
      <c r="H579">
        <v>2</v>
      </c>
      <c r="I579">
        <v>13261.35</v>
      </c>
      <c r="J579">
        <v>15</v>
      </c>
      <c r="K579">
        <v>26522.7</v>
      </c>
    </row>
    <row r="580" spans="1:11">
      <c r="A580">
        <v>10579</v>
      </c>
      <c r="B580" s="1">
        <v>45889</v>
      </c>
      <c r="C580" t="s">
        <v>39</v>
      </c>
      <c r="D580" t="s">
        <v>21</v>
      </c>
      <c r="E580" t="s">
        <v>24</v>
      </c>
      <c r="F580" t="s">
        <v>33</v>
      </c>
      <c r="G580" t="s">
        <v>35</v>
      </c>
      <c r="H580">
        <v>2</v>
      </c>
      <c r="I580">
        <v>13314.11</v>
      </c>
      <c r="J580">
        <v>10</v>
      </c>
      <c r="K580">
        <v>26628.22</v>
      </c>
    </row>
    <row r="581" spans="1:11">
      <c r="A581">
        <v>10349</v>
      </c>
      <c r="B581" s="1">
        <v>45967</v>
      </c>
      <c r="C581" t="s">
        <v>39</v>
      </c>
      <c r="D581" t="s">
        <v>21</v>
      </c>
      <c r="E581" t="s">
        <v>27</v>
      </c>
      <c r="F581" t="s">
        <v>30</v>
      </c>
      <c r="G581" t="s">
        <v>15</v>
      </c>
      <c r="H581">
        <v>2</v>
      </c>
      <c r="I581">
        <v>13367.58</v>
      </c>
      <c r="J581">
        <v>5</v>
      </c>
      <c r="K581">
        <v>26735.16</v>
      </c>
    </row>
    <row r="582" spans="1:11">
      <c r="A582">
        <v>10273</v>
      </c>
      <c r="B582" s="1">
        <v>45827</v>
      </c>
      <c r="C582" t="s">
        <v>39</v>
      </c>
      <c r="D582" t="s">
        <v>21</v>
      </c>
      <c r="E582" t="s">
        <v>24</v>
      </c>
      <c r="F582" t="s">
        <v>31</v>
      </c>
      <c r="G582" t="s">
        <v>35</v>
      </c>
      <c r="H582">
        <v>2</v>
      </c>
      <c r="I582">
        <v>13384.75</v>
      </c>
      <c r="J582">
        <v>15</v>
      </c>
      <c r="K582">
        <v>26769.5</v>
      </c>
    </row>
    <row r="583" spans="1:11">
      <c r="A583">
        <v>10449</v>
      </c>
      <c r="B583" s="1">
        <v>45860</v>
      </c>
      <c r="C583" t="s">
        <v>39</v>
      </c>
      <c r="D583" t="s">
        <v>21</v>
      </c>
      <c r="E583" t="s">
        <v>24</v>
      </c>
      <c r="F583" t="s">
        <v>22</v>
      </c>
      <c r="G583" t="s">
        <v>19</v>
      </c>
      <c r="H583">
        <v>2</v>
      </c>
      <c r="I583">
        <v>13415.08</v>
      </c>
      <c r="J583">
        <v>0</v>
      </c>
      <c r="K583">
        <v>26830.16</v>
      </c>
    </row>
    <row r="584" spans="1:11">
      <c r="A584">
        <v>10081</v>
      </c>
      <c r="B584" s="1">
        <v>45830</v>
      </c>
      <c r="C584" t="s">
        <v>39</v>
      </c>
      <c r="D584" t="s">
        <v>21</v>
      </c>
      <c r="E584" t="s">
        <v>27</v>
      </c>
      <c r="F584" t="s">
        <v>40</v>
      </c>
      <c r="G584" t="s">
        <v>19</v>
      </c>
      <c r="H584">
        <v>2</v>
      </c>
      <c r="I584">
        <v>13434.35</v>
      </c>
      <c r="J584">
        <v>5</v>
      </c>
      <c r="K584">
        <v>26868.7</v>
      </c>
    </row>
    <row r="585" spans="1:11">
      <c r="A585">
        <v>10594</v>
      </c>
      <c r="B585" s="1">
        <v>45921</v>
      </c>
      <c r="C585" t="s">
        <v>39</v>
      </c>
      <c r="D585" t="s">
        <v>21</v>
      </c>
      <c r="E585" t="s">
        <v>27</v>
      </c>
      <c r="F585" t="s">
        <v>31</v>
      </c>
      <c r="G585" t="s">
        <v>15</v>
      </c>
      <c r="H585">
        <v>2</v>
      </c>
      <c r="I585">
        <v>13516.73</v>
      </c>
      <c r="J585">
        <v>0</v>
      </c>
      <c r="K585">
        <v>27033.46</v>
      </c>
    </row>
    <row r="586" spans="1:11">
      <c r="A586">
        <v>10452</v>
      </c>
      <c r="B586" s="1">
        <v>46009</v>
      </c>
      <c r="C586" t="s">
        <v>39</v>
      </c>
      <c r="D586" t="s">
        <v>21</v>
      </c>
      <c r="E586" t="s">
        <v>24</v>
      </c>
      <c r="F586" t="s">
        <v>33</v>
      </c>
      <c r="G586" t="s">
        <v>35</v>
      </c>
      <c r="H586">
        <v>2</v>
      </c>
      <c r="I586">
        <v>13541.62</v>
      </c>
      <c r="J586">
        <v>0</v>
      </c>
      <c r="K586">
        <v>27083.24</v>
      </c>
    </row>
    <row r="587" spans="1:11">
      <c r="A587">
        <v>10382</v>
      </c>
      <c r="B587" s="1">
        <v>45892</v>
      </c>
      <c r="C587" t="s">
        <v>39</v>
      </c>
      <c r="D587" t="s">
        <v>21</v>
      </c>
      <c r="E587" t="s">
        <v>18</v>
      </c>
      <c r="F587" t="s">
        <v>22</v>
      </c>
      <c r="G587" t="s">
        <v>35</v>
      </c>
      <c r="H587">
        <v>2</v>
      </c>
      <c r="I587">
        <v>13543.25</v>
      </c>
      <c r="J587">
        <v>10</v>
      </c>
      <c r="K587">
        <v>27086.5</v>
      </c>
    </row>
    <row r="588" spans="1:11">
      <c r="A588">
        <v>10114</v>
      </c>
      <c r="B588" s="1">
        <v>45967</v>
      </c>
      <c r="C588" t="s">
        <v>39</v>
      </c>
      <c r="D588" t="s">
        <v>21</v>
      </c>
      <c r="E588" t="s">
        <v>13</v>
      </c>
      <c r="F588" t="s">
        <v>28</v>
      </c>
      <c r="G588" t="s">
        <v>15</v>
      </c>
      <c r="H588">
        <v>2</v>
      </c>
      <c r="I588">
        <v>13599.44</v>
      </c>
      <c r="J588">
        <v>20</v>
      </c>
      <c r="K588">
        <v>27198.880000000001</v>
      </c>
    </row>
    <row r="589" spans="1:11">
      <c r="A589">
        <v>10391</v>
      </c>
      <c r="B589" s="1">
        <v>45935</v>
      </c>
      <c r="C589" t="s">
        <v>39</v>
      </c>
      <c r="D589" t="s">
        <v>21</v>
      </c>
      <c r="E589" t="s">
        <v>24</v>
      </c>
      <c r="F589" t="s">
        <v>22</v>
      </c>
      <c r="G589" t="s">
        <v>19</v>
      </c>
      <c r="H589">
        <v>2</v>
      </c>
      <c r="I589">
        <v>13635.66</v>
      </c>
      <c r="J589">
        <v>0</v>
      </c>
      <c r="K589">
        <v>27271.32</v>
      </c>
    </row>
    <row r="590" spans="1:11">
      <c r="A590">
        <v>10455</v>
      </c>
      <c r="B590" s="1">
        <v>45860</v>
      </c>
      <c r="C590" t="s">
        <v>37</v>
      </c>
      <c r="D590" t="s">
        <v>21</v>
      </c>
      <c r="E590" t="s">
        <v>27</v>
      </c>
      <c r="F590" t="s">
        <v>28</v>
      </c>
      <c r="G590" t="s">
        <v>19</v>
      </c>
      <c r="H590">
        <v>5</v>
      </c>
      <c r="I590">
        <v>5802.72</v>
      </c>
      <c r="J590">
        <v>0</v>
      </c>
      <c r="K590">
        <v>29013.599999999999</v>
      </c>
    </row>
    <row r="591" spans="1:11">
      <c r="A591">
        <v>10348</v>
      </c>
      <c r="B591" s="1">
        <v>45698</v>
      </c>
      <c r="C591" t="s">
        <v>37</v>
      </c>
      <c r="D591" t="s">
        <v>21</v>
      </c>
      <c r="E591" t="s">
        <v>13</v>
      </c>
      <c r="F591" t="s">
        <v>28</v>
      </c>
      <c r="G591" t="s">
        <v>15</v>
      </c>
      <c r="H591">
        <v>5</v>
      </c>
      <c r="I591">
        <v>5838.31</v>
      </c>
      <c r="J591">
        <v>0</v>
      </c>
      <c r="K591">
        <v>29191.55</v>
      </c>
    </row>
    <row r="592" spans="1:11">
      <c r="A592">
        <v>10553</v>
      </c>
      <c r="B592" s="1">
        <v>45724</v>
      </c>
      <c r="C592" t="s">
        <v>37</v>
      </c>
      <c r="D592" t="s">
        <v>21</v>
      </c>
      <c r="E592" t="s">
        <v>27</v>
      </c>
      <c r="F592" t="s">
        <v>31</v>
      </c>
      <c r="G592" t="s">
        <v>15</v>
      </c>
      <c r="H592">
        <v>5</v>
      </c>
      <c r="I592">
        <v>5963.42</v>
      </c>
      <c r="J592">
        <v>0</v>
      </c>
      <c r="K592">
        <v>29817.1</v>
      </c>
    </row>
    <row r="593" spans="1:11">
      <c r="A593">
        <v>10207</v>
      </c>
      <c r="B593" s="1">
        <v>46008</v>
      </c>
      <c r="C593" t="s">
        <v>37</v>
      </c>
      <c r="D593" t="s">
        <v>21</v>
      </c>
      <c r="E593" t="s">
        <v>24</v>
      </c>
      <c r="F593" t="s">
        <v>22</v>
      </c>
      <c r="G593" t="s">
        <v>35</v>
      </c>
      <c r="H593">
        <v>5</v>
      </c>
      <c r="I593">
        <v>6004.09</v>
      </c>
      <c r="J593">
        <v>0</v>
      </c>
      <c r="K593">
        <v>30020.45</v>
      </c>
    </row>
    <row r="594" spans="1:11">
      <c r="A594">
        <v>10649</v>
      </c>
      <c r="B594" s="1">
        <v>45740</v>
      </c>
      <c r="C594" t="s">
        <v>37</v>
      </c>
      <c r="D594" t="s">
        <v>21</v>
      </c>
      <c r="E594" t="s">
        <v>24</v>
      </c>
      <c r="F594" t="s">
        <v>14</v>
      </c>
      <c r="G594" t="s">
        <v>35</v>
      </c>
      <c r="H594">
        <v>5</v>
      </c>
      <c r="I594">
        <v>6170.62</v>
      </c>
      <c r="J594">
        <v>20</v>
      </c>
      <c r="K594">
        <v>30853.1</v>
      </c>
    </row>
    <row r="595" spans="1:11">
      <c r="A595">
        <v>10510</v>
      </c>
      <c r="B595" s="1">
        <v>46010</v>
      </c>
      <c r="C595" t="s">
        <v>20</v>
      </c>
      <c r="D595" t="s">
        <v>21</v>
      </c>
      <c r="E595" t="s">
        <v>24</v>
      </c>
      <c r="F595" t="s">
        <v>30</v>
      </c>
      <c r="G595" t="s">
        <v>15</v>
      </c>
      <c r="H595">
        <v>5</v>
      </c>
      <c r="I595">
        <v>6206.32</v>
      </c>
      <c r="J595">
        <v>20</v>
      </c>
      <c r="K595">
        <v>31031.599999999999</v>
      </c>
    </row>
    <row r="596" spans="1:11">
      <c r="A596">
        <v>10142</v>
      </c>
      <c r="B596" s="1">
        <v>45786</v>
      </c>
      <c r="C596" t="s">
        <v>37</v>
      </c>
      <c r="D596" t="s">
        <v>21</v>
      </c>
      <c r="E596" t="s">
        <v>27</v>
      </c>
      <c r="F596" t="s">
        <v>30</v>
      </c>
      <c r="G596" t="s">
        <v>15</v>
      </c>
      <c r="H596">
        <v>5</v>
      </c>
      <c r="I596">
        <v>6210.97</v>
      </c>
      <c r="J596">
        <v>0</v>
      </c>
      <c r="K596">
        <v>31054.85</v>
      </c>
    </row>
    <row r="597" spans="1:11">
      <c r="A597">
        <v>10006</v>
      </c>
      <c r="B597" s="1">
        <v>45680</v>
      </c>
      <c r="C597" t="s">
        <v>20</v>
      </c>
      <c r="D597" t="s">
        <v>21</v>
      </c>
      <c r="E597" t="s">
        <v>27</v>
      </c>
      <c r="F597" t="s">
        <v>33</v>
      </c>
      <c r="G597" t="s">
        <v>15</v>
      </c>
      <c r="H597">
        <v>5</v>
      </c>
      <c r="I597">
        <v>6225.26</v>
      </c>
      <c r="J597">
        <v>0</v>
      </c>
      <c r="K597">
        <v>31126.3</v>
      </c>
    </row>
    <row r="598" spans="1:11">
      <c r="A598">
        <v>10362</v>
      </c>
      <c r="B598" s="1">
        <v>45760</v>
      </c>
      <c r="C598" t="s">
        <v>37</v>
      </c>
      <c r="D598" t="s">
        <v>21</v>
      </c>
      <c r="E598" t="s">
        <v>27</v>
      </c>
      <c r="F598" t="s">
        <v>30</v>
      </c>
      <c r="G598" t="s">
        <v>15</v>
      </c>
      <c r="H598">
        <v>5</v>
      </c>
      <c r="I598">
        <v>6280.19</v>
      </c>
      <c r="J598">
        <v>0</v>
      </c>
      <c r="K598">
        <v>31400.95</v>
      </c>
    </row>
    <row r="599" spans="1:11">
      <c r="A599">
        <v>10024</v>
      </c>
      <c r="B599" s="1">
        <v>46011</v>
      </c>
      <c r="C599" t="s">
        <v>37</v>
      </c>
      <c r="D599" t="s">
        <v>21</v>
      </c>
      <c r="E599" t="s">
        <v>18</v>
      </c>
      <c r="F599" t="s">
        <v>22</v>
      </c>
      <c r="G599" t="s">
        <v>19</v>
      </c>
      <c r="H599">
        <v>5</v>
      </c>
      <c r="I599">
        <v>6296.04</v>
      </c>
      <c r="J599">
        <v>15</v>
      </c>
      <c r="K599">
        <v>31480.2</v>
      </c>
    </row>
    <row r="600" spans="1:11">
      <c r="A600">
        <v>10358</v>
      </c>
      <c r="B600" s="1">
        <v>45910</v>
      </c>
      <c r="C600" t="s">
        <v>20</v>
      </c>
      <c r="D600" t="s">
        <v>21</v>
      </c>
      <c r="E600" t="s">
        <v>18</v>
      </c>
      <c r="F600" t="s">
        <v>28</v>
      </c>
      <c r="G600" t="s">
        <v>15</v>
      </c>
      <c r="H600">
        <v>5</v>
      </c>
      <c r="I600">
        <v>6353.4</v>
      </c>
      <c r="J600">
        <v>0</v>
      </c>
      <c r="K600">
        <v>31767</v>
      </c>
    </row>
    <row r="601" spans="1:11">
      <c r="A601">
        <v>10488</v>
      </c>
      <c r="B601" s="1">
        <v>45704</v>
      </c>
      <c r="C601" t="s">
        <v>20</v>
      </c>
      <c r="D601" t="s">
        <v>21</v>
      </c>
      <c r="E601" t="s">
        <v>27</v>
      </c>
      <c r="F601" t="s">
        <v>14</v>
      </c>
      <c r="G601" t="s">
        <v>19</v>
      </c>
      <c r="H601">
        <v>5</v>
      </c>
      <c r="I601">
        <v>6414.12</v>
      </c>
      <c r="J601">
        <v>5</v>
      </c>
      <c r="K601">
        <v>32070.6</v>
      </c>
    </row>
    <row r="602" spans="1:11">
      <c r="A602">
        <v>10558</v>
      </c>
      <c r="B602" s="1">
        <v>45683</v>
      </c>
      <c r="C602" t="s">
        <v>20</v>
      </c>
      <c r="D602" t="s">
        <v>21</v>
      </c>
      <c r="E602" t="s">
        <v>18</v>
      </c>
      <c r="F602" t="s">
        <v>33</v>
      </c>
      <c r="G602" t="s">
        <v>35</v>
      </c>
      <c r="H602">
        <v>5</v>
      </c>
      <c r="I602">
        <v>6436.14</v>
      </c>
      <c r="J602">
        <v>0</v>
      </c>
      <c r="K602">
        <v>32180.7</v>
      </c>
    </row>
    <row r="603" spans="1:11">
      <c r="A603">
        <v>10487</v>
      </c>
      <c r="B603" s="1">
        <v>45699</v>
      </c>
      <c r="C603" t="s">
        <v>20</v>
      </c>
      <c r="D603" t="s">
        <v>21</v>
      </c>
      <c r="E603" t="s">
        <v>27</v>
      </c>
      <c r="F603" t="s">
        <v>28</v>
      </c>
      <c r="G603" t="s">
        <v>19</v>
      </c>
      <c r="H603">
        <v>5</v>
      </c>
      <c r="I603">
        <v>6480.12</v>
      </c>
      <c r="J603">
        <v>15</v>
      </c>
      <c r="K603">
        <v>32400.6</v>
      </c>
    </row>
    <row r="604" spans="1:11">
      <c r="A604">
        <v>10440</v>
      </c>
      <c r="B604" s="1">
        <v>45711</v>
      </c>
      <c r="C604" t="s">
        <v>20</v>
      </c>
      <c r="D604" t="s">
        <v>21</v>
      </c>
      <c r="E604" t="s">
        <v>18</v>
      </c>
      <c r="F604" t="s">
        <v>33</v>
      </c>
      <c r="G604" t="s">
        <v>15</v>
      </c>
      <c r="H604">
        <v>5</v>
      </c>
      <c r="I604">
        <v>6493.82</v>
      </c>
      <c r="J604">
        <v>0</v>
      </c>
      <c r="K604">
        <v>32469.1</v>
      </c>
    </row>
    <row r="605" spans="1:11">
      <c r="A605">
        <v>10172</v>
      </c>
      <c r="B605" s="1">
        <v>45788</v>
      </c>
      <c r="C605" t="s">
        <v>23</v>
      </c>
      <c r="D605" t="s">
        <v>12</v>
      </c>
      <c r="E605" t="s">
        <v>13</v>
      </c>
      <c r="F605" t="s">
        <v>14</v>
      </c>
      <c r="G605" t="s">
        <v>35</v>
      </c>
      <c r="H605">
        <v>10</v>
      </c>
      <c r="I605">
        <v>3347.54</v>
      </c>
      <c r="J605">
        <v>20</v>
      </c>
      <c r="K605">
        <v>33475.4</v>
      </c>
    </row>
    <row r="606" spans="1:11">
      <c r="A606">
        <v>10544</v>
      </c>
      <c r="B606" s="1">
        <v>45703</v>
      </c>
      <c r="C606" t="s">
        <v>23</v>
      </c>
      <c r="D606" t="s">
        <v>12</v>
      </c>
      <c r="E606" t="s">
        <v>24</v>
      </c>
      <c r="F606" t="s">
        <v>33</v>
      </c>
      <c r="G606" t="s">
        <v>35</v>
      </c>
      <c r="H606">
        <v>10</v>
      </c>
      <c r="I606">
        <v>3376.24</v>
      </c>
      <c r="J606">
        <v>0</v>
      </c>
      <c r="K606">
        <v>33762.400000000001</v>
      </c>
    </row>
    <row r="607" spans="1:11">
      <c r="A607">
        <v>10591</v>
      </c>
      <c r="B607" s="1">
        <v>45662</v>
      </c>
      <c r="C607" t="s">
        <v>23</v>
      </c>
      <c r="D607" t="s">
        <v>12</v>
      </c>
      <c r="E607" t="s">
        <v>24</v>
      </c>
      <c r="F607" t="s">
        <v>22</v>
      </c>
      <c r="G607" t="s">
        <v>19</v>
      </c>
      <c r="H607">
        <v>10</v>
      </c>
      <c r="I607">
        <v>3408.15</v>
      </c>
      <c r="J607">
        <v>15</v>
      </c>
      <c r="K607">
        <v>34081.5</v>
      </c>
    </row>
    <row r="608" spans="1:11">
      <c r="A608">
        <v>10028</v>
      </c>
      <c r="B608" s="1">
        <v>45906</v>
      </c>
      <c r="C608" t="s">
        <v>23</v>
      </c>
      <c r="D608" t="s">
        <v>12</v>
      </c>
      <c r="E608" t="s">
        <v>18</v>
      </c>
      <c r="F608" t="s">
        <v>33</v>
      </c>
      <c r="G608" t="s">
        <v>15</v>
      </c>
      <c r="H608">
        <v>10</v>
      </c>
      <c r="I608">
        <v>3409.07</v>
      </c>
      <c r="J608">
        <v>5</v>
      </c>
      <c r="K608">
        <v>34090.699999999997</v>
      </c>
    </row>
    <row r="609" spans="1:11">
      <c r="A609">
        <v>10128</v>
      </c>
      <c r="B609" s="1">
        <v>45908</v>
      </c>
      <c r="C609" t="s">
        <v>23</v>
      </c>
      <c r="D609" t="s">
        <v>12</v>
      </c>
      <c r="E609" t="s">
        <v>18</v>
      </c>
      <c r="F609" t="s">
        <v>31</v>
      </c>
      <c r="G609" t="s">
        <v>35</v>
      </c>
      <c r="H609">
        <v>10</v>
      </c>
      <c r="I609">
        <v>3444.81</v>
      </c>
      <c r="J609">
        <v>10</v>
      </c>
      <c r="K609">
        <v>34448.1</v>
      </c>
    </row>
    <row r="610" spans="1:11">
      <c r="A610">
        <v>10328</v>
      </c>
      <c r="B610" s="1">
        <v>45841</v>
      </c>
      <c r="C610" t="s">
        <v>23</v>
      </c>
      <c r="D610" t="s">
        <v>12</v>
      </c>
      <c r="E610" t="s">
        <v>13</v>
      </c>
      <c r="F610" t="s">
        <v>30</v>
      </c>
      <c r="G610" t="s">
        <v>19</v>
      </c>
      <c r="H610">
        <v>10</v>
      </c>
      <c r="I610">
        <v>3487.1</v>
      </c>
      <c r="J610">
        <v>20</v>
      </c>
      <c r="K610">
        <v>34871</v>
      </c>
    </row>
    <row r="611" spans="1:11">
      <c r="A611">
        <v>10016</v>
      </c>
      <c r="B611" s="1">
        <v>45874</v>
      </c>
      <c r="C611" t="s">
        <v>23</v>
      </c>
      <c r="D611" t="s">
        <v>12</v>
      </c>
      <c r="E611" t="s">
        <v>24</v>
      </c>
      <c r="F611" t="s">
        <v>31</v>
      </c>
      <c r="G611" t="s">
        <v>19</v>
      </c>
      <c r="H611">
        <v>10</v>
      </c>
      <c r="I611">
        <v>3509.19</v>
      </c>
      <c r="J611">
        <v>10</v>
      </c>
      <c r="K611">
        <v>35091.9</v>
      </c>
    </row>
    <row r="612" spans="1:11">
      <c r="A612">
        <v>10634</v>
      </c>
      <c r="B612" s="1">
        <v>45667</v>
      </c>
      <c r="C612" t="s">
        <v>23</v>
      </c>
      <c r="D612" t="s">
        <v>12</v>
      </c>
      <c r="E612" t="s">
        <v>13</v>
      </c>
      <c r="F612" t="s">
        <v>28</v>
      </c>
      <c r="G612" t="s">
        <v>15</v>
      </c>
      <c r="H612">
        <v>10</v>
      </c>
      <c r="I612">
        <v>3536.27</v>
      </c>
      <c r="J612">
        <v>5</v>
      </c>
      <c r="K612">
        <v>35362.699999999997</v>
      </c>
    </row>
    <row r="613" spans="1:11">
      <c r="A613">
        <v>10195</v>
      </c>
      <c r="B613" s="1">
        <v>45910</v>
      </c>
      <c r="C613" t="s">
        <v>23</v>
      </c>
      <c r="D613" t="s">
        <v>12</v>
      </c>
      <c r="E613" t="s">
        <v>27</v>
      </c>
      <c r="F613" t="s">
        <v>33</v>
      </c>
      <c r="G613" t="s">
        <v>35</v>
      </c>
      <c r="H613">
        <v>10</v>
      </c>
      <c r="I613">
        <v>3562.38</v>
      </c>
      <c r="J613">
        <v>10</v>
      </c>
      <c r="K613">
        <v>35623.800000000003</v>
      </c>
    </row>
    <row r="614" spans="1:11">
      <c r="A614">
        <v>10203</v>
      </c>
      <c r="B614" s="1">
        <v>46005</v>
      </c>
      <c r="C614" t="s">
        <v>39</v>
      </c>
      <c r="D614" t="s">
        <v>21</v>
      </c>
      <c r="E614" t="s">
        <v>24</v>
      </c>
      <c r="F614" t="s">
        <v>22</v>
      </c>
      <c r="G614" t="s">
        <v>35</v>
      </c>
      <c r="H614">
        <v>3</v>
      </c>
      <c r="I614">
        <v>12434.73</v>
      </c>
      <c r="J614">
        <v>0</v>
      </c>
      <c r="K614">
        <v>37304.19</v>
      </c>
    </row>
    <row r="615" spans="1:11">
      <c r="A615">
        <v>10152</v>
      </c>
      <c r="B615" s="1">
        <v>46002</v>
      </c>
      <c r="C615" t="s">
        <v>39</v>
      </c>
      <c r="D615" t="s">
        <v>21</v>
      </c>
      <c r="E615" t="s">
        <v>13</v>
      </c>
      <c r="F615" t="s">
        <v>33</v>
      </c>
      <c r="G615" t="s">
        <v>19</v>
      </c>
      <c r="H615">
        <v>3</v>
      </c>
      <c r="I615">
        <v>12489.89</v>
      </c>
      <c r="J615">
        <v>0</v>
      </c>
      <c r="K615">
        <v>37469.67</v>
      </c>
    </row>
    <row r="616" spans="1:11">
      <c r="A616">
        <v>10012</v>
      </c>
      <c r="B616" s="1">
        <v>45863</v>
      </c>
      <c r="C616" t="s">
        <v>39</v>
      </c>
      <c r="D616" t="s">
        <v>21</v>
      </c>
      <c r="E616" t="s">
        <v>13</v>
      </c>
      <c r="F616" t="s">
        <v>28</v>
      </c>
      <c r="G616" t="s">
        <v>15</v>
      </c>
      <c r="H616">
        <v>3</v>
      </c>
      <c r="I616">
        <v>12625.44</v>
      </c>
      <c r="J616">
        <v>5</v>
      </c>
      <c r="K616">
        <v>37876.32</v>
      </c>
    </row>
    <row r="617" spans="1:11">
      <c r="A617">
        <v>10097</v>
      </c>
      <c r="B617" s="1">
        <v>45900</v>
      </c>
      <c r="C617" t="s">
        <v>39</v>
      </c>
      <c r="D617" t="s">
        <v>21</v>
      </c>
      <c r="E617" t="s">
        <v>13</v>
      </c>
      <c r="F617" t="s">
        <v>31</v>
      </c>
      <c r="G617" t="s">
        <v>35</v>
      </c>
      <c r="H617">
        <v>3</v>
      </c>
      <c r="I617">
        <v>12806.37</v>
      </c>
      <c r="J617">
        <v>5</v>
      </c>
      <c r="K617">
        <v>38419.11</v>
      </c>
    </row>
    <row r="618" spans="1:11">
      <c r="A618">
        <v>10241</v>
      </c>
      <c r="B618" s="1">
        <v>45885</v>
      </c>
      <c r="C618" t="s">
        <v>39</v>
      </c>
      <c r="D618" t="s">
        <v>21</v>
      </c>
      <c r="E618" t="s">
        <v>24</v>
      </c>
      <c r="F618" t="s">
        <v>33</v>
      </c>
      <c r="G618" t="s">
        <v>15</v>
      </c>
      <c r="H618">
        <v>3</v>
      </c>
      <c r="I618">
        <v>12866.45</v>
      </c>
      <c r="J618">
        <v>15</v>
      </c>
      <c r="K618">
        <v>38599.35</v>
      </c>
    </row>
    <row r="619" spans="1:11">
      <c r="A619">
        <v>10476</v>
      </c>
      <c r="B619" s="1">
        <v>45821</v>
      </c>
      <c r="C619" t="s">
        <v>39</v>
      </c>
      <c r="D619" t="s">
        <v>21</v>
      </c>
      <c r="E619" t="s">
        <v>18</v>
      </c>
      <c r="F619" t="s">
        <v>22</v>
      </c>
      <c r="G619" t="s">
        <v>15</v>
      </c>
      <c r="H619">
        <v>3</v>
      </c>
      <c r="I619">
        <v>12929.62</v>
      </c>
      <c r="J619">
        <v>0</v>
      </c>
      <c r="K619">
        <v>38788.86</v>
      </c>
    </row>
    <row r="620" spans="1:11">
      <c r="A620">
        <v>10298</v>
      </c>
      <c r="B620" s="1">
        <v>45812</v>
      </c>
      <c r="C620" t="s">
        <v>39</v>
      </c>
      <c r="D620" t="s">
        <v>21</v>
      </c>
      <c r="E620" t="s">
        <v>24</v>
      </c>
      <c r="F620" t="s">
        <v>30</v>
      </c>
      <c r="G620" t="s">
        <v>35</v>
      </c>
      <c r="H620">
        <v>3</v>
      </c>
      <c r="I620">
        <v>13249.58</v>
      </c>
      <c r="J620">
        <v>0</v>
      </c>
      <c r="K620">
        <v>39748.74</v>
      </c>
    </row>
    <row r="621" spans="1:11">
      <c r="A621">
        <v>10181</v>
      </c>
      <c r="B621" s="1">
        <v>45738</v>
      </c>
      <c r="C621" t="s">
        <v>39</v>
      </c>
      <c r="D621" t="s">
        <v>21</v>
      </c>
      <c r="E621" t="s">
        <v>13</v>
      </c>
      <c r="F621" t="s">
        <v>30</v>
      </c>
      <c r="G621" t="s">
        <v>35</v>
      </c>
      <c r="H621">
        <v>3</v>
      </c>
      <c r="I621">
        <v>13358.86</v>
      </c>
      <c r="J621">
        <v>10</v>
      </c>
      <c r="K621">
        <v>40076.58</v>
      </c>
    </row>
    <row r="622" spans="1:11">
      <c r="A622">
        <v>10005</v>
      </c>
      <c r="B622" s="1">
        <v>45710</v>
      </c>
      <c r="C622" t="s">
        <v>39</v>
      </c>
      <c r="D622" t="s">
        <v>21</v>
      </c>
      <c r="E622" t="s">
        <v>24</v>
      </c>
      <c r="F622" t="s">
        <v>31</v>
      </c>
      <c r="G622" t="s">
        <v>15</v>
      </c>
      <c r="H622">
        <v>3</v>
      </c>
      <c r="I622">
        <v>13450.71</v>
      </c>
      <c r="J622">
        <v>10</v>
      </c>
      <c r="K622">
        <v>40352.129999999997</v>
      </c>
    </row>
    <row r="623" spans="1:11">
      <c r="A623">
        <v>10392</v>
      </c>
      <c r="B623" s="1">
        <v>45992</v>
      </c>
      <c r="C623" t="s">
        <v>37</v>
      </c>
      <c r="D623" t="s">
        <v>21</v>
      </c>
      <c r="E623" t="s">
        <v>18</v>
      </c>
      <c r="F623" t="s">
        <v>30</v>
      </c>
      <c r="G623" t="s">
        <v>15</v>
      </c>
      <c r="H623">
        <v>10</v>
      </c>
      <c r="I623">
        <v>5856.71</v>
      </c>
      <c r="J623">
        <v>20</v>
      </c>
      <c r="K623">
        <v>58567.1</v>
      </c>
    </row>
    <row r="624" spans="1:11">
      <c r="A624">
        <v>10258</v>
      </c>
      <c r="B624" s="1">
        <v>45688</v>
      </c>
      <c r="C624" t="s">
        <v>37</v>
      </c>
      <c r="D624" t="s">
        <v>21</v>
      </c>
      <c r="E624" t="s">
        <v>18</v>
      </c>
      <c r="F624" t="s">
        <v>31</v>
      </c>
      <c r="G624" t="s">
        <v>19</v>
      </c>
      <c r="H624">
        <v>10</v>
      </c>
      <c r="I624">
        <v>5977.67</v>
      </c>
      <c r="J624">
        <v>0</v>
      </c>
      <c r="K624">
        <v>59776.7</v>
      </c>
    </row>
    <row r="625" spans="1:11">
      <c r="A625">
        <v>10551</v>
      </c>
      <c r="B625" s="1">
        <v>45688</v>
      </c>
      <c r="C625" t="s">
        <v>37</v>
      </c>
      <c r="D625" t="s">
        <v>21</v>
      </c>
      <c r="E625" t="s">
        <v>18</v>
      </c>
      <c r="F625" t="s">
        <v>28</v>
      </c>
      <c r="G625" t="s">
        <v>19</v>
      </c>
      <c r="H625">
        <v>10</v>
      </c>
      <c r="I625">
        <v>6180.33</v>
      </c>
      <c r="J625">
        <v>15</v>
      </c>
      <c r="K625">
        <v>61803.3</v>
      </c>
    </row>
    <row r="626" spans="1:11">
      <c r="A626">
        <v>10305</v>
      </c>
      <c r="B626" s="1">
        <v>45956</v>
      </c>
      <c r="C626" t="s">
        <v>37</v>
      </c>
      <c r="D626" t="s">
        <v>21</v>
      </c>
      <c r="E626" t="s">
        <v>27</v>
      </c>
      <c r="F626" t="s">
        <v>28</v>
      </c>
      <c r="G626" t="s">
        <v>35</v>
      </c>
      <c r="H626">
        <v>10</v>
      </c>
      <c r="I626">
        <v>6184.18</v>
      </c>
      <c r="J626">
        <v>5</v>
      </c>
      <c r="K626">
        <v>61841.8</v>
      </c>
    </row>
    <row r="627" spans="1:11">
      <c r="A627">
        <v>10505</v>
      </c>
      <c r="B627" s="1">
        <v>45686</v>
      </c>
      <c r="C627" t="s">
        <v>39</v>
      </c>
      <c r="D627" t="s">
        <v>21</v>
      </c>
      <c r="E627" t="s">
        <v>18</v>
      </c>
      <c r="F627" t="s">
        <v>28</v>
      </c>
      <c r="G627" t="s">
        <v>19</v>
      </c>
      <c r="H627">
        <v>5</v>
      </c>
      <c r="I627">
        <v>12525.38</v>
      </c>
      <c r="J627">
        <v>20</v>
      </c>
      <c r="K627">
        <v>62626.9</v>
      </c>
    </row>
    <row r="628" spans="1:11">
      <c r="A628">
        <v>10236</v>
      </c>
      <c r="B628" s="1">
        <v>45996</v>
      </c>
      <c r="C628" t="s">
        <v>39</v>
      </c>
      <c r="D628" t="s">
        <v>21</v>
      </c>
      <c r="E628" t="s">
        <v>13</v>
      </c>
      <c r="F628" t="s">
        <v>30</v>
      </c>
      <c r="G628" t="s">
        <v>19</v>
      </c>
      <c r="H628">
        <v>5</v>
      </c>
      <c r="I628">
        <v>12565.67</v>
      </c>
      <c r="J628">
        <v>5</v>
      </c>
      <c r="K628">
        <v>62828.35</v>
      </c>
    </row>
    <row r="629" spans="1:11">
      <c r="A629">
        <v>10125</v>
      </c>
      <c r="B629" s="1">
        <v>45918</v>
      </c>
      <c r="C629" t="s">
        <v>20</v>
      </c>
      <c r="D629" t="s">
        <v>21</v>
      </c>
      <c r="E629" t="s">
        <v>13</v>
      </c>
      <c r="F629" t="s">
        <v>31</v>
      </c>
      <c r="G629" t="s">
        <v>19</v>
      </c>
      <c r="H629">
        <v>10</v>
      </c>
      <c r="I629">
        <v>6332.45</v>
      </c>
      <c r="J629">
        <v>10</v>
      </c>
      <c r="K629">
        <v>63324.5</v>
      </c>
    </row>
    <row r="630" spans="1:11">
      <c r="A630">
        <v>10237</v>
      </c>
      <c r="B630" s="1">
        <v>45886</v>
      </c>
      <c r="C630" t="s">
        <v>39</v>
      </c>
      <c r="D630" t="s">
        <v>21</v>
      </c>
      <c r="E630" t="s">
        <v>24</v>
      </c>
      <c r="F630" t="s">
        <v>22</v>
      </c>
      <c r="G630" t="s">
        <v>19</v>
      </c>
      <c r="H630">
        <v>5</v>
      </c>
      <c r="I630">
        <v>12705.94</v>
      </c>
      <c r="J630">
        <v>20</v>
      </c>
      <c r="K630">
        <v>63529.7</v>
      </c>
    </row>
    <row r="631" spans="1:11">
      <c r="A631">
        <v>10233</v>
      </c>
      <c r="B631" s="1">
        <v>45881</v>
      </c>
      <c r="C631" t="s">
        <v>39</v>
      </c>
      <c r="D631" t="s">
        <v>21</v>
      </c>
      <c r="E631" t="s">
        <v>27</v>
      </c>
      <c r="F631" t="s">
        <v>22</v>
      </c>
      <c r="G631" t="s">
        <v>19</v>
      </c>
      <c r="H631">
        <v>5</v>
      </c>
      <c r="I631">
        <v>12789.76</v>
      </c>
      <c r="J631">
        <v>0</v>
      </c>
      <c r="K631">
        <v>63948.800000000003</v>
      </c>
    </row>
    <row r="632" spans="1:11">
      <c r="A632">
        <v>10384</v>
      </c>
      <c r="B632" s="1">
        <v>46013</v>
      </c>
      <c r="C632" t="s">
        <v>39</v>
      </c>
      <c r="D632" t="s">
        <v>21</v>
      </c>
      <c r="E632" t="s">
        <v>18</v>
      </c>
      <c r="F632" t="s">
        <v>33</v>
      </c>
      <c r="G632" t="s">
        <v>19</v>
      </c>
      <c r="H632">
        <v>5</v>
      </c>
      <c r="I632">
        <v>13124.34</v>
      </c>
      <c r="J632">
        <v>10</v>
      </c>
      <c r="K632">
        <v>65621.7</v>
      </c>
    </row>
    <row r="633" spans="1:11">
      <c r="A633">
        <v>10645</v>
      </c>
      <c r="B633" s="1">
        <v>45867</v>
      </c>
      <c r="C633" t="s">
        <v>39</v>
      </c>
      <c r="D633" t="s">
        <v>21</v>
      </c>
      <c r="E633" t="s">
        <v>13</v>
      </c>
      <c r="F633" t="s">
        <v>28</v>
      </c>
      <c r="G633" t="s">
        <v>15</v>
      </c>
      <c r="H633">
        <v>5</v>
      </c>
      <c r="I633">
        <v>13196.03</v>
      </c>
      <c r="J633">
        <v>0</v>
      </c>
      <c r="K633">
        <v>65980.149999999994</v>
      </c>
    </row>
    <row r="634" spans="1:11">
      <c r="A634">
        <v>10575</v>
      </c>
      <c r="B634" s="1">
        <v>45945</v>
      </c>
      <c r="C634" t="s">
        <v>39</v>
      </c>
      <c r="D634" t="s">
        <v>21</v>
      </c>
      <c r="E634" t="s">
        <v>27</v>
      </c>
      <c r="F634" t="s">
        <v>33</v>
      </c>
      <c r="G634" t="s">
        <v>35</v>
      </c>
      <c r="H634">
        <v>5</v>
      </c>
      <c r="I634">
        <v>13225.5</v>
      </c>
      <c r="J634">
        <v>20</v>
      </c>
      <c r="K634">
        <v>66127.5</v>
      </c>
    </row>
    <row r="635" spans="1:11">
      <c r="A635">
        <v>10112</v>
      </c>
      <c r="B635" s="1">
        <v>45962</v>
      </c>
      <c r="C635" t="s">
        <v>20</v>
      </c>
      <c r="D635" t="s">
        <v>21</v>
      </c>
      <c r="E635" t="s">
        <v>13</v>
      </c>
      <c r="F635" t="s">
        <v>31</v>
      </c>
      <c r="G635" t="s">
        <v>15</v>
      </c>
      <c r="H635">
        <v>10</v>
      </c>
      <c r="I635">
        <v>6621.62</v>
      </c>
      <c r="J635">
        <v>15</v>
      </c>
      <c r="K635">
        <v>66216.2</v>
      </c>
    </row>
    <row r="636" spans="1:11">
      <c r="A636">
        <v>10356</v>
      </c>
      <c r="B636" s="1">
        <v>45855</v>
      </c>
      <c r="C636" t="s">
        <v>39</v>
      </c>
      <c r="D636" t="s">
        <v>21</v>
      </c>
      <c r="E636" t="s">
        <v>24</v>
      </c>
      <c r="F636" t="s">
        <v>30</v>
      </c>
      <c r="G636" t="s">
        <v>19</v>
      </c>
      <c r="H636">
        <v>5</v>
      </c>
      <c r="I636">
        <v>13361.89</v>
      </c>
      <c r="J636">
        <v>15</v>
      </c>
      <c r="K636">
        <v>66809.45</v>
      </c>
    </row>
    <row r="637" spans="1:11">
      <c r="A637">
        <v>10439</v>
      </c>
      <c r="B637" s="1">
        <v>45983</v>
      </c>
      <c r="C637" t="s">
        <v>39</v>
      </c>
      <c r="D637" t="s">
        <v>21</v>
      </c>
      <c r="E637" t="s">
        <v>24</v>
      </c>
      <c r="F637" t="s">
        <v>30</v>
      </c>
      <c r="G637" t="s">
        <v>15</v>
      </c>
      <c r="H637">
        <v>5</v>
      </c>
      <c r="I637">
        <v>13452.67</v>
      </c>
      <c r="J637">
        <v>15</v>
      </c>
      <c r="K637">
        <v>67263.350000000006</v>
      </c>
    </row>
    <row r="638" spans="1:11">
      <c r="A638">
        <v>10140</v>
      </c>
      <c r="B638" s="1">
        <v>45893</v>
      </c>
      <c r="C638" t="s">
        <v>20</v>
      </c>
      <c r="D638" t="s">
        <v>21</v>
      </c>
      <c r="E638" t="s">
        <v>13</v>
      </c>
      <c r="F638" t="s">
        <v>22</v>
      </c>
      <c r="G638" t="s">
        <v>15</v>
      </c>
      <c r="H638">
        <v>10</v>
      </c>
      <c r="I638">
        <v>6759.75</v>
      </c>
      <c r="J638">
        <v>15</v>
      </c>
      <c r="K638">
        <v>67597.5</v>
      </c>
    </row>
    <row r="639" spans="1:11">
      <c r="A639">
        <v>10260</v>
      </c>
      <c r="B639" s="1">
        <v>45921</v>
      </c>
      <c r="C639" t="s">
        <v>39</v>
      </c>
      <c r="D639" t="s">
        <v>21</v>
      </c>
      <c r="E639" t="s">
        <v>24</v>
      </c>
      <c r="F639" t="s">
        <v>30</v>
      </c>
      <c r="G639" t="s">
        <v>15</v>
      </c>
      <c r="H639">
        <v>10</v>
      </c>
      <c r="I639">
        <v>12508.32</v>
      </c>
      <c r="J639">
        <v>5</v>
      </c>
      <c r="K639">
        <v>125083.2</v>
      </c>
    </row>
    <row r="640" spans="1:11">
      <c r="A640">
        <v>10333</v>
      </c>
      <c r="B640" s="1">
        <v>45744</v>
      </c>
      <c r="C640" t="s">
        <v>39</v>
      </c>
      <c r="D640" t="s">
        <v>21</v>
      </c>
      <c r="E640" t="s">
        <v>18</v>
      </c>
      <c r="F640" t="s">
        <v>22</v>
      </c>
      <c r="G640" t="s">
        <v>35</v>
      </c>
      <c r="H640">
        <v>10</v>
      </c>
      <c r="I640">
        <v>12588.29</v>
      </c>
      <c r="J640">
        <v>10</v>
      </c>
      <c r="K640">
        <v>125882.9</v>
      </c>
    </row>
    <row r="641" spans="1:11">
      <c r="A641">
        <v>10208</v>
      </c>
      <c r="B641" s="1">
        <v>45816</v>
      </c>
      <c r="C641" t="s">
        <v>39</v>
      </c>
      <c r="D641" t="s">
        <v>21</v>
      </c>
      <c r="E641" t="s">
        <v>18</v>
      </c>
      <c r="F641" t="s">
        <v>14</v>
      </c>
      <c r="G641" t="s">
        <v>19</v>
      </c>
      <c r="H641">
        <v>10</v>
      </c>
      <c r="I641">
        <v>12598.64</v>
      </c>
      <c r="J641">
        <v>0</v>
      </c>
      <c r="K641">
        <v>125986.4</v>
      </c>
    </row>
    <row r="642" spans="1:11">
      <c r="A642">
        <v>10353</v>
      </c>
      <c r="B642" s="1">
        <v>45712</v>
      </c>
      <c r="C642" t="s">
        <v>39</v>
      </c>
      <c r="D642" t="s">
        <v>21</v>
      </c>
      <c r="E642" t="s">
        <v>24</v>
      </c>
      <c r="F642" t="s">
        <v>28</v>
      </c>
      <c r="G642" t="s">
        <v>19</v>
      </c>
      <c r="H642">
        <v>10</v>
      </c>
      <c r="I642">
        <v>12816.91</v>
      </c>
      <c r="J642">
        <v>0</v>
      </c>
      <c r="K642">
        <v>128169.1</v>
      </c>
    </row>
    <row r="643" spans="1:11">
      <c r="A643">
        <v>10332</v>
      </c>
      <c r="B643" s="1">
        <v>45789</v>
      </c>
      <c r="C643" t="s">
        <v>39</v>
      </c>
      <c r="D643" t="s">
        <v>21</v>
      </c>
      <c r="E643" t="s">
        <v>27</v>
      </c>
      <c r="F643" t="s">
        <v>22</v>
      </c>
      <c r="G643" t="s">
        <v>35</v>
      </c>
      <c r="H643">
        <v>10</v>
      </c>
      <c r="I643">
        <v>12948.08</v>
      </c>
      <c r="J643">
        <v>15</v>
      </c>
      <c r="K643">
        <v>129480.8</v>
      </c>
    </row>
    <row r="644" spans="1:11">
      <c r="A644">
        <v>10331</v>
      </c>
      <c r="B644" s="1">
        <v>45775</v>
      </c>
      <c r="C644" t="s">
        <v>39</v>
      </c>
      <c r="D644" t="s">
        <v>21</v>
      </c>
      <c r="E644" t="s">
        <v>27</v>
      </c>
      <c r="F644" t="s">
        <v>33</v>
      </c>
      <c r="G644" t="s">
        <v>15</v>
      </c>
      <c r="H644">
        <v>10</v>
      </c>
      <c r="I644">
        <v>13064.83</v>
      </c>
      <c r="J644">
        <v>15</v>
      </c>
      <c r="K644">
        <v>130648.3</v>
      </c>
    </row>
    <row r="645" spans="1:11">
      <c r="A645">
        <v>10134</v>
      </c>
      <c r="B645" s="1">
        <v>46003</v>
      </c>
      <c r="C645" t="s">
        <v>39</v>
      </c>
      <c r="D645" t="s">
        <v>21</v>
      </c>
      <c r="E645" t="s">
        <v>27</v>
      </c>
      <c r="F645" t="s">
        <v>30</v>
      </c>
      <c r="G645" t="s">
        <v>35</v>
      </c>
      <c r="H645">
        <v>10</v>
      </c>
      <c r="I645">
        <v>13483.06</v>
      </c>
      <c r="J645">
        <v>0</v>
      </c>
      <c r="K645">
        <v>134830.6</v>
      </c>
    </row>
    <row r="646" spans="1:11">
      <c r="A646">
        <v>10292</v>
      </c>
      <c r="B646" s="1">
        <v>45803</v>
      </c>
      <c r="C646" t="s">
        <v>39</v>
      </c>
      <c r="D646" t="s">
        <v>21</v>
      </c>
      <c r="E646" t="s">
        <v>27</v>
      </c>
      <c r="F646" t="s">
        <v>22</v>
      </c>
      <c r="G646" t="s">
        <v>35</v>
      </c>
      <c r="H646">
        <v>10</v>
      </c>
      <c r="I646">
        <v>13505</v>
      </c>
      <c r="J646">
        <v>0</v>
      </c>
      <c r="K646">
        <v>135050</v>
      </c>
    </row>
    <row r="647" spans="1:11">
      <c r="A647">
        <v>10590</v>
      </c>
      <c r="B647" s="1">
        <v>45827</v>
      </c>
      <c r="C647" t="s">
        <v>39</v>
      </c>
      <c r="D647" t="s">
        <v>21</v>
      </c>
      <c r="E647" t="s">
        <v>13</v>
      </c>
      <c r="F647" t="s">
        <v>30</v>
      </c>
      <c r="G647" t="s">
        <v>15</v>
      </c>
      <c r="H647">
        <v>10</v>
      </c>
      <c r="I647">
        <v>13644.57</v>
      </c>
      <c r="J647">
        <v>20</v>
      </c>
      <c r="K647">
        <v>136445.70000000001</v>
      </c>
    </row>
  </sheetData>
  <autoFilter ref="A1:K647" xr:uid="{56149C17-ADF6-448C-8147-68D9068D286C}">
    <sortState xmlns:xlrd2="http://schemas.microsoft.com/office/spreadsheetml/2017/richdata2" ref="A2:K647">
      <sortCondition ref="K1:K647"/>
    </sortState>
  </autoFilter>
  <conditionalFormatting sqref="K1:K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ellIs" dxfId="1" priority="2" operator="equal">
      <formula>20</formula>
    </cfRule>
    <cfRule type="cellIs" dxfId="0" priority="1" operator="equal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PivotByRegion</vt:lpstr>
      <vt:lpstr>PivotByCategory</vt:lpstr>
      <vt:lpstr>PivotByRep</vt:lpstr>
      <vt:lpstr>Dashboard</vt:lpstr>
      <vt:lpstr>sales_sample_data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</dc:creator>
  <cp:lastModifiedBy>Darshan Kumar</cp:lastModifiedBy>
  <dcterms:created xsi:type="dcterms:W3CDTF">2026-08-03T05:26:13Z</dcterms:created>
  <dcterms:modified xsi:type="dcterms:W3CDTF">2026-08-03T06:38:14Z</dcterms:modified>
</cp:coreProperties>
</file>